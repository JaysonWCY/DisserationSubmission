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cy\Documents\Dissertation Project\"/>
    </mc:Choice>
  </mc:AlternateContent>
  <xr:revisionPtr revIDLastSave="0" documentId="13_ncr:1_{C0D81BE6-1719-49EA-B163-94EF01ADCDBB}" xr6:coauthVersionLast="47" xr6:coauthVersionMax="47" xr10:uidLastSave="{00000000-0000-0000-0000-000000000000}"/>
  <bookViews>
    <workbookView xWindow="-28920" yWindow="-120" windowWidth="29040" windowHeight="15720" activeTab="3" xr2:uid="{E5DC8D84-459E-477E-AC47-232E4D626D5F}"/>
  </bookViews>
  <sheets>
    <sheet name="Result Data" sheetId="1" r:id="rId1"/>
    <sheet name="Actual Price Data" sheetId="4" r:id="rId2"/>
    <sheet name="Short Term" sheetId="2" r:id="rId3"/>
    <sheet name="Long Term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6" i="3" l="1"/>
  <c r="R16" i="2"/>
  <c r="T23" i="3"/>
  <c r="U23" i="3"/>
  <c r="V23" i="3"/>
  <c r="T24" i="3"/>
  <c r="U24" i="3"/>
  <c r="V24" i="3"/>
  <c r="W24" i="3"/>
  <c r="X24" i="3"/>
  <c r="T25" i="3"/>
  <c r="U25" i="3"/>
  <c r="V25" i="3"/>
  <c r="T26" i="3"/>
  <c r="U26" i="3"/>
  <c r="V26" i="3"/>
  <c r="W26" i="3"/>
  <c r="X26" i="3"/>
  <c r="T28" i="3"/>
  <c r="AE28" i="3" s="1"/>
  <c r="U28" i="3"/>
  <c r="V28" i="3"/>
  <c r="W28" i="3"/>
  <c r="AH28" i="3" s="1"/>
  <c r="X28" i="3"/>
  <c r="AI28" i="3" s="1"/>
  <c r="T30" i="3"/>
  <c r="U30" i="3"/>
  <c r="V30" i="3"/>
  <c r="W30" i="3"/>
  <c r="X30" i="3"/>
  <c r="AI30" i="3" s="1"/>
  <c r="T31" i="3"/>
  <c r="AE31" i="3" s="1"/>
  <c r="U31" i="3"/>
  <c r="V31" i="3"/>
  <c r="W31" i="3"/>
  <c r="X31" i="3"/>
  <c r="T32" i="3"/>
  <c r="U32" i="3"/>
  <c r="V32" i="3"/>
  <c r="W32" i="3"/>
  <c r="X32" i="3"/>
  <c r="T33" i="3"/>
  <c r="U33" i="3"/>
  <c r="V33" i="3"/>
  <c r="W33" i="3"/>
  <c r="X33" i="3"/>
  <c r="T34" i="3"/>
  <c r="U34" i="3"/>
  <c r="V34" i="3"/>
  <c r="W34" i="3"/>
  <c r="X34" i="3"/>
  <c r="T36" i="3"/>
  <c r="U36" i="3"/>
  <c r="V36" i="3"/>
  <c r="W36" i="3"/>
  <c r="X36" i="3"/>
  <c r="Q36" i="3"/>
  <c r="R36" i="3"/>
  <c r="AC34" i="3" s="1"/>
  <c r="S36" i="3"/>
  <c r="AD34" i="3" s="1"/>
  <c r="P36" i="3"/>
  <c r="P24" i="3"/>
  <c r="AA24" i="3" s="1"/>
  <c r="Q24" i="3"/>
  <c r="AB24" i="3" s="1"/>
  <c r="R24" i="3"/>
  <c r="AC24" i="3" s="1"/>
  <c r="S24" i="3"/>
  <c r="P25" i="3"/>
  <c r="AA25" i="3" s="1"/>
  <c r="Q25" i="3"/>
  <c r="AB25" i="3" s="1"/>
  <c r="R25" i="3"/>
  <c r="S25" i="3"/>
  <c r="P26" i="3"/>
  <c r="Q26" i="3"/>
  <c r="R26" i="3"/>
  <c r="S26" i="3"/>
  <c r="P27" i="3"/>
  <c r="Q27" i="3"/>
  <c r="P28" i="3"/>
  <c r="Q28" i="3"/>
  <c r="R28" i="3"/>
  <c r="S28" i="3"/>
  <c r="P29" i="3"/>
  <c r="Q29" i="3"/>
  <c r="P30" i="3"/>
  <c r="Q30" i="3"/>
  <c r="R30" i="3"/>
  <c r="S30" i="3"/>
  <c r="P31" i="3"/>
  <c r="Q31" i="3"/>
  <c r="R31" i="3"/>
  <c r="S31" i="3"/>
  <c r="P32" i="3"/>
  <c r="AA32" i="3" s="1"/>
  <c r="Q32" i="3"/>
  <c r="AB32" i="3" s="1"/>
  <c r="R32" i="3"/>
  <c r="AC32" i="3" s="1"/>
  <c r="S32" i="3"/>
  <c r="AD32" i="3" s="1"/>
  <c r="P33" i="3"/>
  <c r="AA33" i="3" s="1"/>
  <c r="Q33" i="3"/>
  <c r="AB33" i="3" s="1"/>
  <c r="R33" i="3"/>
  <c r="AC33" i="3" s="1"/>
  <c r="S33" i="3"/>
  <c r="AD33" i="3" s="1"/>
  <c r="P34" i="3"/>
  <c r="AA34" i="3" s="1"/>
  <c r="Q34" i="3"/>
  <c r="AB34" i="3" s="1"/>
  <c r="R34" i="3"/>
  <c r="S34" i="3"/>
  <c r="Q23" i="3"/>
  <c r="R23" i="3"/>
  <c r="S23" i="3"/>
  <c r="P23" i="3"/>
  <c r="S26" i="2"/>
  <c r="R27" i="2"/>
  <c r="R28" i="2"/>
  <c r="S28" i="2"/>
  <c r="T28" i="2"/>
  <c r="L36" i="2"/>
  <c r="R23" i="2" s="1"/>
  <c r="M36" i="2"/>
  <c r="S25" i="2" s="1"/>
  <c r="N36" i="2"/>
  <c r="T26" i="2" s="1"/>
  <c r="K36" i="2"/>
  <c r="Q26" i="2" s="1"/>
  <c r="K24" i="2"/>
  <c r="Q24" i="2" s="1"/>
  <c r="L24" i="2"/>
  <c r="R24" i="2" s="1"/>
  <c r="M24" i="2"/>
  <c r="N24" i="2"/>
  <c r="K25" i="2"/>
  <c r="L25" i="2"/>
  <c r="M25" i="2"/>
  <c r="N25" i="2"/>
  <c r="K26" i="2"/>
  <c r="L26" i="2"/>
  <c r="M26" i="2"/>
  <c r="N26" i="2"/>
  <c r="K27" i="2"/>
  <c r="L27" i="2"/>
  <c r="K28" i="2"/>
  <c r="L28" i="2"/>
  <c r="M28" i="2"/>
  <c r="N28" i="2"/>
  <c r="K29" i="2"/>
  <c r="Q29" i="2" s="1"/>
  <c r="L29" i="2"/>
  <c r="R29" i="2" s="1"/>
  <c r="K30" i="2"/>
  <c r="Q30" i="2" s="1"/>
  <c r="L30" i="2"/>
  <c r="R30" i="2" s="1"/>
  <c r="M30" i="2"/>
  <c r="S30" i="2" s="1"/>
  <c r="N30" i="2"/>
  <c r="T30" i="2" s="1"/>
  <c r="K31" i="2"/>
  <c r="Q31" i="2" s="1"/>
  <c r="L31" i="2"/>
  <c r="R31" i="2" s="1"/>
  <c r="M31" i="2"/>
  <c r="S31" i="2" s="1"/>
  <c r="N31" i="2"/>
  <c r="T31" i="2" s="1"/>
  <c r="K32" i="2"/>
  <c r="Q32" i="2" s="1"/>
  <c r="L32" i="2"/>
  <c r="R32" i="2" s="1"/>
  <c r="M32" i="2"/>
  <c r="S32" i="2" s="1"/>
  <c r="N32" i="2"/>
  <c r="T32" i="2" s="1"/>
  <c r="K33" i="2"/>
  <c r="Q33" i="2" s="1"/>
  <c r="L33" i="2"/>
  <c r="R33" i="2" s="1"/>
  <c r="M33" i="2"/>
  <c r="N33" i="2"/>
  <c r="K34" i="2"/>
  <c r="L34" i="2"/>
  <c r="M34" i="2"/>
  <c r="N34" i="2"/>
  <c r="L23" i="2"/>
  <c r="M23" i="2"/>
  <c r="N23" i="2"/>
  <c r="K23" i="2"/>
  <c r="C23" i="2"/>
  <c r="J16" i="3"/>
  <c r="K16" i="3"/>
  <c r="L16" i="3"/>
  <c r="D22" i="3"/>
  <c r="E22" i="3"/>
  <c r="F22" i="3"/>
  <c r="G22" i="3"/>
  <c r="H22" i="3"/>
  <c r="I22" i="3"/>
  <c r="D23" i="3"/>
  <c r="E23" i="3"/>
  <c r="F23" i="3"/>
  <c r="G23" i="3"/>
  <c r="H23" i="3"/>
  <c r="I23" i="3"/>
  <c r="J23" i="3"/>
  <c r="K23" i="3"/>
  <c r="D24" i="3"/>
  <c r="E24" i="3"/>
  <c r="F24" i="3"/>
  <c r="G24" i="3"/>
  <c r="H24" i="3"/>
  <c r="I24" i="3"/>
  <c r="D25" i="3"/>
  <c r="E25" i="3"/>
  <c r="F25" i="3"/>
  <c r="G25" i="3"/>
  <c r="H25" i="3"/>
  <c r="I25" i="3"/>
  <c r="J25" i="3"/>
  <c r="K25" i="3"/>
  <c r="D26" i="3"/>
  <c r="D27" i="3"/>
  <c r="E27" i="3"/>
  <c r="F27" i="3"/>
  <c r="G27" i="3"/>
  <c r="H27" i="3"/>
  <c r="I27" i="3"/>
  <c r="J27" i="3"/>
  <c r="K27" i="3"/>
  <c r="D28" i="3"/>
  <c r="D29" i="3"/>
  <c r="E29" i="3"/>
  <c r="F29" i="3"/>
  <c r="G29" i="3"/>
  <c r="H29" i="3"/>
  <c r="I29" i="3"/>
  <c r="J29" i="3"/>
  <c r="K29" i="3"/>
  <c r="D30" i="3"/>
  <c r="E30" i="3"/>
  <c r="F30" i="3"/>
  <c r="G30" i="3"/>
  <c r="H30" i="3"/>
  <c r="I30" i="3"/>
  <c r="J30" i="3"/>
  <c r="K30" i="3"/>
  <c r="D31" i="3"/>
  <c r="E31" i="3"/>
  <c r="F31" i="3"/>
  <c r="G31" i="3"/>
  <c r="H31" i="3"/>
  <c r="I31" i="3"/>
  <c r="J31" i="3"/>
  <c r="K31" i="3"/>
  <c r="D32" i="3"/>
  <c r="E32" i="3"/>
  <c r="F32" i="3"/>
  <c r="G32" i="3"/>
  <c r="H32" i="3"/>
  <c r="I32" i="3"/>
  <c r="J32" i="3"/>
  <c r="K32" i="3"/>
  <c r="D33" i="3"/>
  <c r="E33" i="3"/>
  <c r="F33" i="3"/>
  <c r="G33" i="3"/>
  <c r="H33" i="3"/>
  <c r="I33" i="3"/>
  <c r="J33" i="3"/>
  <c r="K33" i="3"/>
  <c r="D35" i="3"/>
  <c r="E35" i="3"/>
  <c r="F35" i="3"/>
  <c r="G35" i="3"/>
  <c r="H35" i="3"/>
  <c r="I35" i="3"/>
  <c r="J35" i="3"/>
  <c r="K35" i="3"/>
  <c r="C35" i="3"/>
  <c r="C23" i="3"/>
  <c r="C24" i="3"/>
  <c r="C25" i="3"/>
  <c r="C26" i="3"/>
  <c r="C27" i="3"/>
  <c r="C28" i="3"/>
  <c r="C29" i="3"/>
  <c r="C30" i="3"/>
  <c r="C31" i="3"/>
  <c r="C32" i="3"/>
  <c r="C33" i="3"/>
  <c r="C22" i="3"/>
  <c r="P10" i="2"/>
  <c r="Q10" i="2" s="1"/>
  <c r="O10" i="2"/>
  <c r="P8" i="2"/>
  <c r="Q8" i="2" s="1"/>
  <c r="O8" i="2"/>
  <c r="U6" i="3"/>
  <c r="V6" i="3" s="1"/>
  <c r="T6" i="3"/>
  <c r="U4" i="3"/>
  <c r="V4" i="3" s="1"/>
  <c r="T4" i="3"/>
  <c r="U10" i="3"/>
  <c r="V10" i="3" s="1"/>
  <c r="T10" i="3"/>
  <c r="U8" i="3"/>
  <c r="V8" i="3" s="1"/>
  <c r="T8" i="3"/>
  <c r="U5" i="3"/>
  <c r="V5" i="3" s="1"/>
  <c r="U7" i="3"/>
  <c r="V7" i="3" s="1"/>
  <c r="U9" i="3"/>
  <c r="V9" i="3" s="1"/>
  <c r="U11" i="3"/>
  <c r="V11" i="3" s="1"/>
  <c r="U12" i="3"/>
  <c r="V12" i="3" s="1"/>
  <c r="U13" i="3"/>
  <c r="V13" i="3" s="1"/>
  <c r="U14" i="3"/>
  <c r="V14" i="3" s="1"/>
  <c r="U15" i="3"/>
  <c r="V15" i="3" s="1"/>
  <c r="T5" i="3"/>
  <c r="T7" i="3"/>
  <c r="T9" i="3"/>
  <c r="T11" i="3"/>
  <c r="T12" i="3"/>
  <c r="T13" i="3"/>
  <c r="T14" i="3"/>
  <c r="T15" i="3"/>
  <c r="I16" i="3"/>
  <c r="H16" i="3"/>
  <c r="G16" i="3"/>
  <c r="F16" i="3"/>
  <c r="E16" i="3"/>
  <c r="D16" i="3"/>
  <c r="C16" i="3"/>
  <c r="F36" i="2"/>
  <c r="E36" i="2"/>
  <c r="D36" i="2"/>
  <c r="C36" i="2"/>
  <c r="D23" i="2"/>
  <c r="E23" i="2"/>
  <c r="F23" i="2"/>
  <c r="D24" i="2"/>
  <c r="E24" i="2"/>
  <c r="F24" i="2"/>
  <c r="D25" i="2"/>
  <c r="E25" i="2"/>
  <c r="F25" i="2"/>
  <c r="D26" i="2"/>
  <c r="E26" i="2"/>
  <c r="F26" i="2"/>
  <c r="D27" i="2"/>
  <c r="D28" i="2"/>
  <c r="E28" i="2"/>
  <c r="F28" i="2"/>
  <c r="D29" i="2"/>
  <c r="D30" i="2"/>
  <c r="E30" i="2"/>
  <c r="F30" i="2"/>
  <c r="D31" i="2"/>
  <c r="E31" i="2"/>
  <c r="F31" i="2"/>
  <c r="D32" i="2"/>
  <c r="E32" i="2"/>
  <c r="F32" i="2"/>
  <c r="D33" i="2"/>
  <c r="E33" i="2"/>
  <c r="F33" i="2"/>
  <c r="D34" i="2"/>
  <c r="E34" i="2"/>
  <c r="F34" i="2"/>
  <c r="C24" i="2"/>
  <c r="C25" i="2"/>
  <c r="C26" i="2"/>
  <c r="C27" i="2"/>
  <c r="C28" i="2"/>
  <c r="C29" i="2"/>
  <c r="C30" i="2"/>
  <c r="C31" i="2"/>
  <c r="C32" i="2"/>
  <c r="C33" i="2"/>
  <c r="C34" i="2"/>
  <c r="O5" i="2"/>
  <c r="P5" i="2"/>
  <c r="Q5" i="2" s="1"/>
  <c r="O6" i="2"/>
  <c r="P6" i="2"/>
  <c r="Q6" i="2" s="1"/>
  <c r="O7" i="2"/>
  <c r="P7" i="2"/>
  <c r="Q7" i="2" s="1"/>
  <c r="O9" i="2"/>
  <c r="P9" i="2"/>
  <c r="Q9" i="2" s="1"/>
  <c r="O11" i="2"/>
  <c r="P11" i="2"/>
  <c r="Q11" i="2" s="1"/>
  <c r="O12" i="2"/>
  <c r="P12" i="2"/>
  <c r="Q12" i="2" s="1"/>
  <c r="O13" i="2"/>
  <c r="P13" i="2"/>
  <c r="Q13" i="2" s="1"/>
  <c r="O14" i="2"/>
  <c r="P14" i="2"/>
  <c r="Q14" i="2" s="1"/>
  <c r="O15" i="2"/>
  <c r="P15" i="2"/>
  <c r="Q15" i="2" s="1"/>
  <c r="P4" i="2"/>
  <c r="Q4" i="2" s="1"/>
  <c r="O4" i="2"/>
  <c r="D16" i="2"/>
  <c r="E16" i="2"/>
  <c r="F16" i="2"/>
  <c r="G16" i="2"/>
  <c r="H16" i="2"/>
  <c r="I16" i="2"/>
  <c r="L16" i="2"/>
  <c r="C16" i="2"/>
  <c r="AB31" i="3" l="1"/>
  <c r="AG28" i="3"/>
  <c r="AA31" i="3"/>
  <c r="AF31" i="3"/>
  <c r="AI26" i="3"/>
  <c r="AI34" i="3"/>
  <c r="AG26" i="3"/>
  <c r="AE30" i="3"/>
  <c r="AC30" i="3"/>
  <c r="AB30" i="3"/>
  <c r="AH34" i="3"/>
  <c r="AD30" i="3"/>
  <c r="AA30" i="3"/>
  <c r="AH26" i="3"/>
  <c r="AB29" i="3"/>
  <c r="AI33" i="3"/>
  <c r="AC28" i="3"/>
  <c r="AH33" i="3"/>
  <c r="AI24" i="3"/>
  <c r="AB28" i="3"/>
  <c r="AH24" i="3"/>
  <c r="AA29" i="3"/>
  <c r="AA28" i="3"/>
  <c r="AB27" i="3"/>
  <c r="AA27" i="3"/>
  <c r="AK27" i="3" s="1"/>
  <c r="AL27" i="3" s="1"/>
  <c r="AI32" i="3"/>
  <c r="AA23" i="3"/>
  <c r="AK23" i="3" s="1"/>
  <c r="AL23" i="3" s="1"/>
  <c r="AD26" i="3"/>
  <c r="AH32" i="3"/>
  <c r="AD23" i="3"/>
  <c r="AC26" i="3"/>
  <c r="AB26" i="3"/>
  <c r="AB23" i="3"/>
  <c r="AA26" i="3"/>
  <c r="AK26" i="3" s="1"/>
  <c r="AL26" i="3" s="1"/>
  <c r="AD25" i="3"/>
  <c r="AI31" i="3"/>
  <c r="AC23" i="3"/>
  <c r="AC25" i="3"/>
  <c r="AK25" i="3" s="1"/>
  <c r="AL25" i="3" s="1"/>
  <c r="AH31" i="3"/>
  <c r="AF26" i="3"/>
  <c r="AE26" i="3"/>
  <c r="AF34" i="3"/>
  <c r="AG25" i="3"/>
  <c r="AE34" i="3"/>
  <c r="AF25" i="3"/>
  <c r="AE25" i="3"/>
  <c r="AG34" i="3"/>
  <c r="AG24" i="3"/>
  <c r="AE24" i="3"/>
  <c r="AF24" i="3"/>
  <c r="AG23" i="3"/>
  <c r="AG33" i="3"/>
  <c r="AG32" i="3"/>
  <c r="AF23" i="3"/>
  <c r="AF32" i="3"/>
  <c r="AE23" i="3"/>
  <c r="AE33" i="3"/>
  <c r="AE32" i="3"/>
  <c r="AG31" i="3"/>
  <c r="AG30" i="3"/>
  <c r="AF30" i="3"/>
  <c r="AF28" i="3"/>
  <c r="AF33" i="3"/>
  <c r="AD31" i="3"/>
  <c r="AK31" i="3" s="1"/>
  <c r="AL31" i="3" s="1"/>
  <c r="AC31" i="3"/>
  <c r="AH30" i="3"/>
  <c r="AK33" i="3"/>
  <c r="AL33" i="3" s="1"/>
  <c r="AK34" i="3"/>
  <c r="AL34" i="3" s="1"/>
  <c r="C34" i="3"/>
  <c r="AD28" i="3"/>
  <c r="V32" i="2"/>
  <c r="W32" i="2" s="1"/>
  <c r="Q28" i="2"/>
  <c r="Q27" i="2"/>
  <c r="V27" i="2" s="1"/>
  <c r="W27" i="2" s="1"/>
  <c r="R26" i="2"/>
  <c r="V26" i="2" s="1"/>
  <c r="W26" i="2" s="1"/>
  <c r="T25" i="2"/>
  <c r="R25" i="2"/>
  <c r="Q23" i="2"/>
  <c r="V23" i="2" s="1"/>
  <c r="W23" i="2" s="1"/>
  <c r="Q34" i="2"/>
  <c r="Q25" i="2"/>
  <c r="V25" i="2" s="1"/>
  <c r="W25" i="2" s="1"/>
  <c r="S23" i="2"/>
  <c r="T24" i="2"/>
  <c r="T33" i="2"/>
  <c r="S33" i="2"/>
  <c r="V33" i="2" s="1"/>
  <c r="W33" i="2" s="1"/>
  <c r="S24" i="2"/>
  <c r="V24" i="2" s="1"/>
  <c r="W24" i="2" s="1"/>
  <c r="R34" i="2"/>
  <c r="S34" i="2"/>
  <c r="T34" i="2"/>
  <c r="T23" i="2"/>
  <c r="V30" i="2"/>
  <c r="W30" i="2" s="1"/>
  <c r="V28" i="2"/>
  <c r="W28" i="2" s="1"/>
  <c r="V31" i="2"/>
  <c r="W31" i="2" s="1"/>
  <c r="V29" i="2"/>
  <c r="W29" i="2" s="1"/>
  <c r="AK32" i="3"/>
  <c r="AL32" i="3" s="1"/>
  <c r="AK30" i="3"/>
  <c r="AL30" i="3" s="1"/>
  <c r="AK29" i="3"/>
  <c r="AL29" i="3" s="1"/>
  <c r="AD24" i="3"/>
  <c r="AK24" i="3" s="1"/>
  <c r="AL24" i="3" s="1"/>
  <c r="U16" i="3"/>
  <c r="V16" i="3" s="1"/>
  <c r="T16" i="3"/>
  <c r="K34" i="3"/>
  <c r="J34" i="3"/>
  <c r="I34" i="3"/>
  <c r="G34" i="3"/>
  <c r="F34" i="3"/>
  <c r="E34" i="3"/>
  <c r="D34" i="3"/>
  <c r="H34" i="3"/>
  <c r="E35" i="2"/>
  <c r="D35" i="2"/>
  <c r="C35" i="2"/>
  <c r="F35" i="2"/>
  <c r="P16" i="2"/>
  <c r="Q16" i="2" s="1"/>
  <c r="O16" i="2"/>
  <c r="AK28" i="3" l="1"/>
  <c r="AL28" i="3" s="1"/>
  <c r="V34" i="2"/>
  <c r="W34" i="2" s="1"/>
</calcChain>
</file>

<file path=xl/sharedStrings.xml><?xml version="1.0" encoding="utf-8"?>
<sst xmlns="http://schemas.openxmlformats.org/spreadsheetml/2006/main" count="386" uniqueCount="80">
  <si>
    <t>Min Price</t>
  </si>
  <si>
    <t>Max Price</t>
  </si>
  <si>
    <t>Trend</t>
  </si>
  <si>
    <t>Volatility</t>
  </si>
  <si>
    <t>Confidence</t>
  </si>
  <si>
    <t>Neutral</t>
  </si>
  <si>
    <t>Moderate</t>
  </si>
  <si>
    <t>Day 1</t>
  </si>
  <si>
    <t>Day 2</t>
  </si>
  <si>
    <t>Day 3</t>
  </si>
  <si>
    <t>Day 4</t>
  </si>
  <si>
    <t>Day 5</t>
  </si>
  <si>
    <t>Model</t>
  </si>
  <si>
    <t>0000</t>
  </si>
  <si>
    <t>0001</t>
  </si>
  <si>
    <t>0010</t>
  </si>
  <si>
    <t>Day 6</t>
  </si>
  <si>
    <t>Day 7</t>
  </si>
  <si>
    <t>Day 8</t>
  </si>
  <si>
    <t>Day 9</t>
  </si>
  <si>
    <t>Day 10</t>
  </si>
  <si>
    <t>0011</t>
  </si>
  <si>
    <t>0100</t>
  </si>
  <si>
    <t>0101</t>
  </si>
  <si>
    <t>Bearish</t>
  </si>
  <si>
    <t>High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</si>
  <si>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</si>
  <si>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</si>
  <si>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</si>
  <si>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</si>
  <si>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</si>
  <si>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</si>
  <si>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</si>
  <si>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</si>
  <si>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</si>
  <si>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</si>
  <si>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bullish</t>
  </si>
  <si>
    <t>moderate</t>
  </si>
  <si>
    <t>2000</t>
  </si>
  <si>
    <t>2001</t>
  </si>
  <si>
    <t>Bullish</t>
  </si>
  <si>
    <t>2010</t>
  </si>
  <si>
    <t>Bullishtrend</t>
  </si>
  <si>
    <t>2011</t>
  </si>
  <si>
    <t>Bullis</t>
  </si>
  <si>
    <t>2111</t>
  </si>
  <si>
    <t>2110</t>
  </si>
  <si>
    <t>2101</t>
  </si>
  <si>
    <t>2100</t>
  </si>
  <si>
    <t>1. Data Representation        : 0–2</t>
  </si>
  <si>
    <t>   - 0 = Raw prices</t>
  </si>
  <si>
    <t>   - 1 = % Changes</t>
  </si>
  <si>
    <t>   - 2 = Trend Summary</t>
  </si>
  <si>
    <t>2. Preprocess Data            : 0–1</t>
  </si>
  <si>
    <t>   - 0 = No preprocessing</t>
  </si>
  <si>
    <t>   - 1 = Preprocessing applied (e.g. normalization, scaling, cleaning)</t>
  </si>
  <si>
    <t>3. Technical Indicators       : 0–1</t>
  </si>
  <si>
    <t>   - 0 = Not included</t>
  </si>
  <si>
    <t>   - 1 = Included (e.g. SMA, RSI, MACD, EMA, Bollinger Bands)</t>
  </si>
  <si>
    <t>   </t>
  </si>
  <si>
    <t>4. Prediction Duration        : 0–1</t>
  </si>
  <si>
    <t>   - 0 = Short-term prediction</t>
  </si>
  <si>
    <t>   - 1 = Long-term prediction</t>
  </si>
  <si>
    <t>Date</t>
  </si>
  <si>
    <t>Open</t>
  </si>
  <si>
    <t>Close</t>
  </si>
  <si>
    <t>Low</t>
  </si>
  <si>
    <t>Volume</t>
  </si>
  <si>
    <t>Actual Price</t>
  </si>
  <si>
    <t>Average</t>
  </si>
  <si>
    <t>MAE</t>
  </si>
  <si>
    <t>MSE</t>
  </si>
  <si>
    <t>RMSE</t>
  </si>
  <si>
    <t>Closing Price Per Day</t>
  </si>
  <si>
    <t>Error Indicators</t>
  </si>
  <si>
    <t>Price change Per Day</t>
  </si>
  <si>
    <t>MDA</t>
  </si>
  <si>
    <t>Directional Trend</t>
  </si>
  <si>
    <t>TREND ACCURACY</t>
  </si>
  <si>
    <t>HIT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</si>
</sst>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  <xf numFmtId="0" fontId="4" fillId="0" borderId="0" xfId="0" applyFont="1" applyAlignment="1">
      <alignment vertical="center"/>
    </xf>
    <xf numFmtId="1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vertical="center" wrapText="1"/>
    </xf>
    <xf numFmtId="9" fontId="0" fillId="0" borderId="0" xfId="1" applyFont="1" applyAlignment="1">
      <alignment vertical="center" wrapText="1"/>
    </xf>
    <xf numFmtId="49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0" fillId="0" borderId="1" xfId="0" applyBorder="1"/>
    <xf numFmtId="9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BE12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Closing</a:t>
            </a:r>
            <a:r>
              <a:rPr lang="en-MY" baseline="0"/>
              <a:t> Price Per Day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>
        <c:manualLayout>
          <c:layoutTarget val="inner"/>
          <c:xMode val="edge"/>
          <c:yMode val="edge"/>
          <c:x val="7.6976672818786465E-2"/>
          <c:y val="9.0128897431962715E-2"/>
          <c:w val="0.90398645915890019"/>
          <c:h val="0.6925107618621571"/>
        </c:manualLayout>
      </c:layout>
      <c:lineChart>
        <c:grouping val="standard"/>
        <c:varyColors val="0"/>
        <c:ser>
          <c:idx val="0"/>
          <c:order val="0"/>
          <c:tx>
            <c:strRef>
              <c:f>'Short Term'!$B$4</c:f>
              <c:strCache>
                <c:ptCount val="1"/>
                <c:pt idx="0">
                  <c:v>0000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'Short Term'!$C$3:$G$3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'Short Term'!$C$4:$G$4</c:f>
              <c:numCache>
                <c:formatCode>0.00</c:formatCode>
                <c:ptCount val="5"/>
                <c:pt idx="0">
                  <c:v>6134.19</c:v>
                </c:pt>
                <c:pt idx="1">
                  <c:v>6161.41</c:v>
                </c:pt>
                <c:pt idx="2">
                  <c:v>6188.63</c:v>
                </c:pt>
                <c:pt idx="3">
                  <c:v>6215.85</c:v>
                </c:pt>
                <c:pt idx="4">
                  <c:v>6243.07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ED-4384-8A03-3FF98E3F6872}"/>
            </c:ext>
          </c:extLst>
        </c:ser>
        <c:ser>
          <c:idx val="1"/>
          <c:order val="1"/>
          <c:tx>
            <c:strRef>
              <c:f>'Short Term'!$B$5</c:f>
              <c:strCache>
                <c:ptCount val="1"/>
                <c:pt idx="0">
                  <c:v>0010</c:v>
                </c:pt>
              </c:strCache>
            </c:strRef>
          </c:tx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'Short Term'!$C$3:$G$3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'Short Term'!$C$5:$G$5</c:f>
              <c:numCache>
                <c:formatCode>0.00</c:formatCode>
                <c:ptCount val="5"/>
                <c:pt idx="0">
                  <c:v>6134.19</c:v>
                </c:pt>
                <c:pt idx="1">
                  <c:v>6161.31</c:v>
                </c:pt>
                <c:pt idx="2">
                  <c:v>6188.43</c:v>
                </c:pt>
                <c:pt idx="3">
                  <c:v>6205.55</c:v>
                </c:pt>
                <c:pt idx="4">
                  <c:v>6222.67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ED-4384-8A03-3FF98E3F6872}"/>
            </c:ext>
          </c:extLst>
        </c:ser>
        <c:ser>
          <c:idx val="2"/>
          <c:order val="2"/>
          <c:tx>
            <c:strRef>
              <c:f>'Short Term'!$B$6</c:f>
              <c:strCache>
                <c:ptCount val="1"/>
                <c:pt idx="0">
                  <c:v>0100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'Short Term'!$C$3:$G$3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'Short Term'!$C$6:$G$6</c:f>
              <c:numCache>
                <c:formatCode>0.00</c:formatCode>
                <c:ptCount val="5"/>
                <c:pt idx="0">
                  <c:v>6134.19</c:v>
                </c:pt>
                <c:pt idx="1">
                  <c:v>6161.41</c:v>
                </c:pt>
                <c:pt idx="2">
                  <c:v>6188.63</c:v>
                </c:pt>
                <c:pt idx="3">
                  <c:v>6215.85</c:v>
                </c:pt>
                <c:pt idx="4">
                  <c:v>6243.07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ED-4384-8A03-3FF98E3F6872}"/>
            </c:ext>
          </c:extLst>
        </c:ser>
        <c:ser>
          <c:idx val="3"/>
          <c:order val="3"/>
          <c:tx>
            <c:strRef>
              <c:f>'Short Term'!$B$7</c:f>
              <c:strCache>
                <c:ptCount val="1"/>
                <c:pt idx="0">
                  <c:v>0110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'Short Term'!$C$3:$G$3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'Short Term'!$C$7:$G$7</c:f>
              <c:numCache>
                <c:formatCode>0.00</c:formatCode>
                <c:ptCount val="5"/>
                <c:pt idx="0">
                  <c:v>6134.19</c:v>
                </c:pt>
                <c:pt idx="1">
                  <c:v>6161.31</c:v>
                </c:pt>
                <c:pt idx="2">
                  <c:v>6188.43</c:v>
                </c:pt>
                <c:pt idx="3">
                  <c:v>6205.55</c:v>
                </c:pt>
                <c:pt idx="4">
                  <c:v>6222.67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ED-4384-8A03-3FF98E3F6872}"/>
            </c:ext>
          </c:extLst>
        </c:ser>
        <c:ser>
          <c:idx val="4"/>
          <c:order val="4"/>
          <c:tx>
            <c:strRef>
              <c:f>'Short Term'!$B$8</c:f>
              <c:strCache>
                <c:ptCount val="1"/>
                <c:pt idx="0">
                  <c:v>1000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'Short Term'!$C$3:$G$3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'Short Term'!$C$8:$G$8</c:f>
              <c:numCache>
                <c:formatCode>0.00</c:formatCode>
                <c:ptCount val="5"/>
                <c:pt idx="0">
                  <c:v>6057.5110000000004</c:v>
                </c:pt>
                <c:pt idx="1">
                  <c:v>6091.1109999999999</c:v>
                </c:pt>
                <c:pt idx="2">
                  <c:v>6104.7179999999998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ED-4384-8A03-3FF98E3F6872}"/>
            </c:ext>
          </c:extLst>
        </c:ser>
        <c:ser>
          <c:idx val="5"/>
          <c:order val="5"/>
          <c:tx>
            <c:strRef>
              <c:f>'Short Term'!$B$9</c:f>
              <c:strCache>
                <c:ptCount val="1"/>
                <c:pt idx="0">
                  <c:v>1010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'Short Term'!$C$3:$G$3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'Short Term'!$C$9:$G$9</c:f>
              <c:numCache>
                <c:formatCode>0.00</c:formatCode>
                <c:ptCount val="5"/>
                <c:pt idx="0">
                  <c:v>6083.1109999999999</c:v>
                </c:pt>
                <c:pt idx="1">
                  <c:v>6094.4189999999999</c:v>
                </c:pt>
                <c:pt idx="2">
                  <c:v>6105.7269999999999</c:v>
                </c:pt>
                <c:pt idx="3">
                  <c:v>6117.0349999999999</c:v>
                </c:pt>
                <c:pt idx="4">
                  <c:v>6128.3429999999998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ED-4384-8A03-3FF98E3F6872}"/>
            </c:ext>
          </c:extLst>
        </c:ser>
        <c:ser>
          <c:idx val="6"/>
          <c:order val="6"/>
          <c:tx>
            <c:strRef>
              <c:f>'Short Term'!$B$10</c:f>
              <c:strCache>
                <c:ptCount val="1"/>
                <c:pt idx="0">
                  <c:v>1100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'Short Term'!$C$3:$G$3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'Short Term'!$C$10:$G$10</c:f>
              <c:numCache>
                <c:formatCode>0.00</c:formatCode>
                <c:ptCount val="5"/>
                <c:pt idx="0">
                  <c:v>6057.5110000000004</c:v>
                </c:pt>
                <c:pt idx="1">
                  <c:v>6091.1109999999999</c:v>
                </c:pt>
                <c:pt idx="2">
                  <c:v>6104.7179999999998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ED-4384-8A03-3FF98E3F6872}"/>
            </c:ext>
          </c:extLst>
        </c:ser>
        <c:ser>
          <c:idx val="7"/>
          <c:order val="7"/>
          <c:tx>
            <c:strRef>
              <c:f>'Short Term'!$B$11</c:f>
              <c:strCache>
                <c:ptCount val="1"/>
                <c:pt idx="0">
                  <c:v>1110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'Short Term'!$C$3:$G$3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'Short Term'!$C$11:$G$11</c:f>
              <c:numCache>
                <c:formatCode>0.00</c:formatCode>
                <c:ptCount val="5"/>
                <c:pt idx="0">
                  <c:v>6083.1109999999999</c:v>
                </c:pt>
                <c:pt idx="1">
                  <c:v>6094.4189999999999</c:v>
                </c:pt>
                <c:pt idx="2">
                  <c:v>6105.7269999999999</c:v>
                </c:pt>
                <c:pt idx="3">
                  <c:v>6117.0349999999999</c:v>
                </c:pt>
                <c:pt idx="4">
                  <c:v>6128.3429999999998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ED-4384-8A03-3FF98E3F6872}"/>
            </c:ext>
          </c:extLst>
        </c:ser>
        <c:ser>
          <c:idx val="8"/>
          <c:order val="8"/>
          <c:tx>
            <c:strRef>
              <c:f>'Short Term'!$B$12</c:f>
              <c:strCache>
                <c:ptCount val="1"/>
                <c:pt idx="0">
                  <c:v>2000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strRef>
              <c:f>'Short Term'!$C$3:$G$3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'Short Term'!$C$12:$G$12</c:f>
              <c:numCache>
                <c:formatCode>0.00</c:formatCode>
                <c:ptCount val="5"/>
                <c:pt idx="0">
                  <c:v>5968.23</c:v>
                </c:pt>
                <c:pt idx="1">
                  <c:v>5989.56</c:v>
                </c:pt>
                <c:pt idx="2">
                  <c:v>6009.89</c:v>
                </c:pt>
                <c:pt idx="3">
                  <c:v>6030.22</c:v>
                </c:pt>
                <c:pt idx="4">
                  <c:v>6050.55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ED-4384-8A03-3FF98E3F6872}"/>
            </c:ext>
          </c:extLst>
        </c:ser>
        <c:ser>
          <c:idx val="9"/>
          <c:order val="9"/>
          <c:tx>
            <c:strRef>
              <c:f>'Short Term'!$B$13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'Short Term'!$C$3:$G$3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'Short Term'!$C$13:$G$13</c:f>
              <c:numCache>
                <c:formatCode>0.00</c:formatCode>
                <c:ptCount val="5"/>
                <c:pt idx="0">
                  <c:v>6089.15</c:v>
                </c:pt>
                <c:pt idx="1">
                  <c:v>6097.23</c:v>
                </c:pt>
                <c:pt idx="2">
                  <c:v>6105.31</c:v>
                </c:pt>
                <c:pt idx="3">
                  <c:v>6113.39</c:v>
                </c:pt>
                <c:pt idx="4">
                  <c:v>6121.47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ED-4384-8A03-3FF98E3F6872}"/>
            </c:ext>
          </c:extLst>
        </c:ser>
        <c:ser>
          <c:idx val="10"/>
          <c:order val="10"/>
          <c:tx>
            <c:strRef>
              <c:f>'Short Term'!$B$14</c:f>
              <c:strCache>
                <c:ptCount val="1"/>
                <c:pt idx="0">
                  <c:v>2100</c:v>
                </c:pt>
              </c:strCache>
            </c:strRef>
          </c:tx>
          <c:spPr>
            <a:ln w="28575" cap="rnd">
              <a:solidFill>
                <a:srgbClr val="BE12AA"/>
              </a:solidFill>
              <a:round/>
            </a:ln>
            <a:effectLst/>
          </c:spPr>
          <c:marker>
            <c:symbol val="none"/>
          </c:marker>
          <c:cat>
            <c:strRef>
              <c:f>'Short Term'!$C$3:$G$3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'Short Term'!$C$14:$G$14</c:f>
              <c:numCache>
                <c:formatCode>0.00</c:formatCode>
                <c:ptCount val="5"/>
                <c:pt idx="0">
                  <c:v>5968.23</c:v>
                </c:pt>
                <c:pt idx="1">
                  <c:v>5989.56</c:v>
                </c:pt>
                <c:pt idx="2">
                  <c:v>6009.89</c:v>
                </c:pt>
                <c:pt idx="3">
                  <c:v>6030.22</c:v>
                </c:pt>
                <c:pt idx="4">
                  <c:v>6050.55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ED-4384-8A03-3FF98E3F6872}"/>
            </c:ext>
          </c:extLst>
        </c:ser>
        <c:ser>
          <c:idx val="11"/>
          <c:order val="11"/>
          <c:tx>
            <c:strRef>
              <c:f>'Short Term'!$B$15</c:f>
              <c:strCache>
                <c:ptCount val="1"/>
                <c:pt idx="0">
                  <c:v>2110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'Short Term'!$C$3:$G$3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'Short Term'!$C$15:$G$15</c:f>
              <c:numCache>
                <c:formatCode>0.00</c:formatCode>
                <c:ptCount val="5"/>
                <c:pt idx="0">
                  <c:v>6089.15</c:v>
                </c:pt>
                <c:pt idx="1">
                  <c:v>6097.23</c:v>
                </c:pt>
                <c:pt idx="2">
                  <c:v>6105.31</c:v>
                </c:pt>
                <c:pt idx="3">
                  <c:v>6113.39</c:v>
                </c:pt>
                <c:pt idx="4">
                  <c:v>6121.47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ED-4384-8A03-3FF98E3F6872}"/>
            </c:ext>
          </c:extLst>
        </c:ser>
        <c:ser>
          <c:idx val="12"/>
          <c:order val="12"/>
          <c:tx>
            <c:strRef>
              <c:f>'Short Term'!$B$16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'Short Term'!$C$3:$G$3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'Short Term'!$C$16:$G$16</c:f>
              <c:numCache>
                <c:formatCode>0.00</c:formatCode>
                <c:ptCount val="5"/>
                <c:pt idx="0">
                  <c:v>6077.730333333333</c:v>
                </c:pt>
                <c:pt idx="1">
                  <c:v>6099.1733333333323</c:v>
                </c:pt>
                <c:pt idx="2">
                  <c:v>6117.1175000000003</c:v>
                </c:pt>
                <c:pt idx="3">
                  <c:v>6136.4089999999997</c:v>
                </c:pt>
                <c:pt idx="4">
                  <c:v>6153.2206000000006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ED-4384-8A03-3FF98E3F6872}"/>
            </c:ext>
          </c:extLst>
        </c:ser>
        <c:ser>
          <c:idx val="13"/>
          <c:order val="13"/>
          <c:tx>
            <c:strRef>
              <c:f>'Short Term'!$B$17</c:f>
              <c:strCache>
                <c:ptCount val="1"/>
                <c:pt idx="0">
                  <c:v>Actual Price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'Short Term'!$C$3:$G$3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'Short Term'!$C$17:$G$17</c:f>
              <c:numCache>
                <c:formatCode>0.00</c:formatCode>
                <c:ptCount val="5"/>
                <c:pt idx="0">
                  <c:v>6040.52978515625</c:v>
                </c:pt>
                <c:pt idx="1">
                  <c:v>5994.56982421875</c:v>
                </c:pt>
                <c:pt idx="2">
                  <c:v>6037.8798828125</c:v>
                </c:pt>
                <c:pt idx="3">
                  <c:v>6061.47998046875</c:v>
                </c:pt>
                <c:pt idx="4">
                  <c:v>6083.56982421875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ED-4384-8A03-3FF98E3F6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2730927"/>
        <c:axId val="1412732847"/>
      </c:lineChart>
      <c:catAx>
        <c:axId val="141273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732847"/>
        <c:crosses val="autoZero"/>
        <c:auto val="1"/>
        <c:lblAlgn val="ctr"/>
        <c:lblOffset val="100"/>
        <c:noMultiLvlLbl val="0"/>
      </c:catAx>
      <c:valAx>
        <c:axId val="1412732847"/>
        <c:scaling>
          <c:orientation val="minMax"/>
          <c:max val="6250"/>
          <c:min val="59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73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740924432379372"/>
          <c:y val="0.85569010599159956"/>
          <c:w val="0.72275225519773045"/>
          <c:h val="0.141856020772771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Short-term Prediction Error Indicators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'Short Term'!$O$3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'Short Term'!$N$4:$N$16</c:f>
              <c:strCache>
                <c:ptCount val="13"/>
                <c:pt idx="0">
                  <c:v>0000</c:v>
                </c:pt>
                <c:pt idx="1">
                  <c:v>0010</c:v>
                </c:pt>
                <c:pt idx="2">
                  <c:v>0100</c:v>
                </c:pt>
                <c:pt idx="3">
                  <c:v>0110</c:v>
                </c:pt>
                <c:pt idx="4">
                  <c:v>1000</c:v>
                </c:pt>
                <c:pt idx="5">
                  <c:v>1010</c:v>
                </c:pt>
                <c:pt idx="6">
                  <c:v>1100</c:v>
                </c:pt>
                <c:pt idx="7">
                  <c:v>1110</c:v>
                </c:pt>
                <c:pt idx="8">
                  <c:v>2000</c:v>
                </c:pt>
                <c:pt idx="9">
                  <c:v>2010</c:v>
                </c:pt>
                <c:pt idx="10">
                  <c:v>2100</c:v>
                </c:pt>
                <c:pt idx="11">
                  <c:v>2110</c:v>
                </c:pt>
                <c:pt idx="12">
                  <c:v>Average</c:v>
                </c:pt>
              </c:strCache>
            </c:strRef>
          </c:cat>
          <c:val>
            <c:numRef>
              <c:f>'Short Term'!$O$4:$O$16</c:f>
              <c:numCache>
                <c:formatCode>0.00</c:formatCode>
                <c:ptCount val="13"/>
                <c:pt idx="0">
                  <c:v>145.02414062499992</c:v>
                </c:pt>
                <c:pt idx="1">
                  <c:v>138.8241406250001</c:v>
                </c:pt>
                <c:pt idx="2">
                  <c:v>145.02414062499992</c:v>
                </c:pt>
                <c:pt idx="3">
                  <c:v>138.8241406250001</c:v>
                </c:pt>
                <c:pt idx="4">
                  <c:v>60.120169270833379</c:v>
                </c:pt>
                <c:pt idx="5">
                  <c:v>62.12114062499986</c:v>
                </c:pt>
                <c:pt idx="6">
                  <c:v>60.120169270833379</c:v>
                </c:pt>
                <c:pt idx="7">
                  <c:v>62.12114062499986</c:v>
                </c:pt>
                <c:pt idx="8">
                  <c:v>33.915859374999854</c:v>
                </c:pt>
                <c:pt idx="9">
                  <c:v>61.704140625000036</c:v>
                </c:pt>
                <c:pt idx="10">
                  <c:v>33.915859374999854</c:v>
                </c:pt>
                <c:pt idx="11">
                  <c:v>61.704140625000036</c:v>
                </c:pt>
                <c:pt idx="12">
                  <c:v>73.124293958333141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4-451F-87EB-7BC5BB5DA2A9}"/>
            </c:ext>
          </c:extLst>
        </c:ser>
        <c:ser>
          <c:idx val="2"/>
          <c:order val="1"/>
          <c:tx>
            <c:strRef>
              <c:f>'Short Term'!$Q$3</c:f>
              <c:strCache>
                <c:ptCount val="1"/>
                <c:pt idx="0">
                  <c:v>RMSE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'Short Term'!$N$4:$N$16</c:f>
              <c:strCache>
                <c:ptCount val="13"/>
                <c:pt idx="0">
                  <c:v>0000</c:v>
                </c:pt>
                <c:pt idx="1">
                  <c:v>0010</c:v>
                </c:pt>
                <c:pt idx="2">
                  <c:v>0100</c:v>
                </c:pt>
                <c:pt idx="3">
                  <c:v>0110</c:v>
                </c:pt>
                <c:pt idx="4">
                  <c:v>1000</c:v>
                </c:pt>
                <c:pt idx="5">
                  <c:v>1010</c:v>
                </c:pt>
                <c:pt idx="6">
                  <c:v>1100</c:v>
                </c:pt>
                <c:pt idx="7">
                  <c:v>1110</c:v>
                </c:pt>
                <c:pt idx="8">
                  <c:v>2000</c:v>
                </c:pt>
                <c:pt idx="9">
                  <c:v>2010</c:v>
                </c:pt>
                <c:pt idx="10">
                  <c:v>2100</c:v>
                </c:pt>
                <c:pt idx="11">
                  <c:v>2110</c:v>
                </c:pt>
                <c:pt idx="12">
                  <c:v>Average</c:v>
                </c:pt>
              </c:strCache>
            </c:strRef>
          </c:cat>
          <c:val>
            <c:numRef>
              <c:f>'Short Term'!$Q$4:$Q$16</c:f>
              <c:numCache>
                <c:formatCode>0.00</c:formatCode>
                <c:ptCount val="13"/>
                <c:pt idx="0">
                  <c:v>147.37970480067389</c:v>
                </c:pt>
                <c:pt idx="1">
                  <c:v>140.9573618364214</c:v>
                </c:pt>
                <c:pt idx="2">
                  <c:v>147.37970480067389</c:v>
                </c:pt>
                <c:pt idx="3">
                  <c:v>140.9573618364214</c:v>
                </c:pt>
                <c:pt idx="4">
                  <c:v>68.497917700627369</c:v>
                </c:pt>
                <c:pt idx="5">
                  <c:v>65.53967735208208</c:v>
                </c:pt>
                <c:pt idx="6">
                  <c:v>68.497917700627369</c:v>
                </c:pt>
                <c:pt idx="7">
                  <c:v>65.53967735208208</c:v>
                </c:pt>
                <c:pt idx="8">
                  <c:v>40.257386856436568</c:v>
                </c:pt>
                <c:pt idx="9">
                  <c:v>65.69768814622617</c:v>
                </c:pt>
                <c:pt idx="10">
                  <c:v>40.257386856436568</c:v>
                </c:pt>
                <c:pt idx="11">
                  <c:v>65.69768814622617</c:v>
                </c:pt>
                <c:pt idx="12">
                  <c:v>76.249542183749838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94-451F-87EB-7BC5BB5DA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9113487"/>
        <c:axId val="1539115407"/>
      </c:barChart>
      <c:catAx>
        <c:axId val="153911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115407"/>
        <c:crosses val="autoZero"/>
        <c:auto val="1"/>
        <c:lblAlgn val="ctr"/>
        <c:lblOffset val="100"/>
        <c:noMultiLvlLbl val="0"/>
      </c:catAx>
      <c:valAx>
        <c:axId val="153911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11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Closing Price Per</a:t>
            </a:r>
            <a:r>
              <a:rPr lang="en-MY" baseline="0"/>
              <a:t> Day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'Long Term'!$B$4</c:f>
              <c:strCache>
                <c:ptCount val="1"/>
                <c:pt idx="0">
                  <c:v>0001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'Long Term'!$C$3:$L$3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cat>
          <c:val>
            <c:numRef>
              <c:f>'Long Term'!$C$4:$L$4</c:f>
              <c:numCache>
                <c:formatCode>0.00</c:formatCode>
                <c:ptCount val="10"/>
                <c:pt idx="0">
                  <c:v>6134.8193359375</c:v>
                </c:pt>
                <c:pt idx="1">
                  <c:v>6161.4892578125</c:v>
                </c:pt>
                <c:pt idx="2">
                  <c:v>6190.15966796875</c:v>
                </c:pt>
                <c:pt idx="3">
                  <c:v>6211.8298339843705</c:v>
                </c:pt>
                <c:pt idx="4">
                  <c:v>6245.49951171875</c:v>
                </c:pt>
                <c:pt idx="5">
                  <c:v>6282.869140625</c:v>
                </c:pt>
                <c:pt idx="6">
                  <c:v>6313.23974609375</c:v>
                </c:pt>
                <c:pt idx="7">
                  <c:v>6347.5690917968705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9C-469C-ACBB-3556554E0E4B}"/>
            </c:ext>
          </c:extLst>
        </c:ser>
        <c:ser>
          <c:idx val="1"/>
          <c:order val="1"/>
          <c:tx>
            <c:strRef>
              <c:f>'Long Term'!$B$5</c:f>
              <c:strCache>
                <c:ptCount val="1"/>
                <c:pt idx="0">
                  <c:v>0011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'Long Term'!$C$3:$L$3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cat>
          <c:val>
            <c:numRef>
              <c:f>'Long Term'!$C$5:$L$5</c:f>
              <c:numCache>
                <c:formatCode>0.00</c:formatCode>
                <c:ptCount val="10"/>
                <c:pt idx="0">
                  <c:v>6134.19</c:v>
                </c:pt>
                <c:pt idx="1">
                  <c:v>6147.31</c:v>
                </c:pt>
                <c:pt idx="2">
                  <c:v>6160.43</c:v>
                </c:pt>
                <c:pt idx="3">
                  <c:v>6173.55</c:v>
                </c:pt>
                <c:pt idx="4">
                  <c:v>6186.67</c:v>
                </c:pt>
                <c:pt idx="5">
                  <c:v>6199.79</c:v>
                </c:pt>
                <c:pt idx="6">
                  <c:v>6212.91</c:v>
                </c:pt>
                <c:pt idx="7">
                  <c:v>6226.03</c:v>
                </c:pt>
                <c:pt idx="8">
                  <c:v>6239.15</c:v>
                </c:pt>
                <c:pt idx="9">
                  <c:v>6351.37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9C-469C-ACBB-3556554E0E4B}"/>
            </c:ext>
          </c:extLst>
        </c:ser>
        <c:ser>
          <c:idx val="2"/>
          <c:order val="2"/>
          <c:tx>
            <c:strRef>
              <c:f>'Long Term'!$B$6</c:f>
              <c:strCache>
                <c:ptCount val="1"/>
                <c:pt idx="0">
                  <c:v>0101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'Long Term'!$C$3:$L$3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cat>
          <c:val>
            <c:numRef>
              <c:f>'Long Term'!$C$6:$L$6</c:f>
              <c:numCache>
                <c:formatCode>0.00</c:formatCode>
                <c:ptCount val="10"/>
                <c:pt idx="0">
                  <c:v>6134.8193359375</c:v>
                </c:pt>
                <c:pt idx="1">
                  <c:v>6161.4892578125</c:v>
                </c:pt>
                <c:pt idx="2">
                  <c:v>6190.15966796875</c:v>
                </c:pt>
                <c:pt idx="3">
                  <c:v>6211.8298339843705</c:v>
                </c:pt>
                <c:pt idx="4">
                  <c:v>6245.49951171875</c:v>
                </c:pt>
                <c:pt idx="5">
                  <c:v>6282.869140625</c:v>
                </c:pt>
                <c:pt idx="6">
                  <c:v>6313.23974609375</c:v>
                </c:pt>
                <c:pt idx="7">
                  <c:v>6347.5690917968705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9C-469C-ACBB-3556554E0E4B}"/>
            </c:ext>
          </c:extLst>
        </c:ser>
        <c:ser>
          <c:idx val="3"/>
          <c:order val="3"/>
          <c:tx>
            <c:strRef>
              <c:f>'Long Term'!$B$7</c:f>
              <c:strCache>
                <c:ptCount val="1"/>
                <c:pt idx="0">
                  <c:v>0111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'Long Term'!$C$3:$L$3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cat>
          <c:val>
            <c:numRef>
              <c:f>'Long Term'!$C$7:$L$7</c:f>
              <c:numCache>
                <c:formatCode>0.00</c:formatCode>
                <c:ptCount val="10"/>
                <c:pt idx="0">
                  <c:v>6134.19</c:v>
                </c:pt>
                <c:pt idx="1">
                  <c:v>6147.31</c:v>
                </c:pt>
                <c:pt idx="2">
                  <c:v>6160.43</c:v>
                </c:pt>
                <c:pt idx="3">
                  <c:v>6173.55</c:v>
                </c:pt>
                <c:pt idx="4">
                  <c:v>6186.67</c:v>
                </c:pt>
                <c:pt idx="5">
                  <c:v>6199.79</c:v>
                </c:pt>
                <c:pt idx="6">
                  <c:v>6212.91</c:v>
                </c:pt>
                <c:pt idx="7">
                  <c:v>6226.03</c:v>
                </c:pt>
                <c:pt idx="8">
                  <c:v>6239.15</c:v>
                </c:pt>
                <c:pt idx="9">
                  <c:v>6351.37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9C-469C-ACBB-3556554E0E4B}"/>
            </c:ext>
          </c:extLst>
        </c:ser>
        <c:ser>
          <c:idx val="4"/>
          <c:order val="4"/>
          <c:tx>
            <c:strRef>
              <c:f>'Long Term'!$B$8</c:f>
              <c:strCache>
                <c:ptCount val="1"/>
                <c:pt idx="0">
                  <c:v>1001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'Long Term'!$C$3:$L$3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cat>
          <c:val>
            <c:numRef>
              <c:f>'Long Term'!$C$8:$L$8</c:f>
              <c:numCache>
                <c:formatCode>0.00</c:formatCode>
                <c:ptCount val="10"/>
                <c:pt idx="0">
                  <c:v>6057.5110000000004</c:v>
                </c:pt>
                <c:pt idx="1">
                  <c:v>6091.1109999999999</c:v>
                </c:pt>
                <c:pt idx="2">
                  <c:v>6104.7179999999998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9C-469C-ACBB-3556554E0E4B}"/>
            </c:ext>
          </c:extLst>
        </c:ser>
        <c:ser>
          <c:idx val="5"/>
          <c:order val="5"/>
          <c:tx>
            <c:strRef>
              <c:f>'Long Term'!$B$9</c:f>
              <c:strCache>
                <c:ptCount val="1"/>
                <c:pt idx="0">
                  <c:v>1011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'Long Term'!$C$3:$L$3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cat>
          <c:val>
            <c:numRef>
              <c:f>'Long Term'!$C$9:$L$9</c:f>
              <c:numCache>
                <c:formatCode>0.00</c:formatCode>
                <c:ptCount val="10"/>
                <c:pt idx="0">
                  <c:v>6083.4189999999999</c:v>
                </c:pt>
                <c:pt idx="1">
                  <c:v>6101.1109999999999</c:v>
                </c:pt>
                <c:pt idx="2">
                  <c:v>6120.0110000000004</c:v>
                </c:pt>
                <c:pt idx="3">
                  <c:v>6139.1909999999998</c:v>
                </c:pt>
                <c:pt idx="4">
                  <c:v>6159.6310000000003</c:v>
                </c:pt>
                <c:pt idx="5">
                  <c:v>6181.3410000000003</c:v>
                </c:pt>
                <c:pt idx="6">
                  <c:v>6204.3209999999999</c:v>
                </c:pt>
                <c:pt idx="7">
                  <c:v>6228.5309999999999</c:v>
                </c:pt>
                <c:pt idx="8">
                  <c:v>6254.8909999999996</c:v>
                </c:pt>
                <c:pt idx="9">
                  <c:v>6282.491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9C-469C-ACBB-3556554E0E4B}"/>
            </c:ext>
          </c:extLst>
        </c:ser>
        <c:ser>
          <c:idx val="6"/>
          <c:order val="6"/>
          <c:tx>
            <c:strRef>
              <c:f>'Long Term'!$B$10</c:f>
              <c:strCache>
                <c:ptCount val="1"/>
                <c:pt idx="0">
                  <c:v>1101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'Long Term'!$C$3:$L$3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cat>
          <c:val>
            <c:numRef>
              <c:f>'Long Term'!$C$10:$L$10</c:f>
              <c:numCache>
                <c:formatCode>0.00</c:formatCode>
                <c:ptCount val="10"/>
                <c:pt idx="0">
                  <c:v>6057.5110000000004</c:v>
                </c:pt>
                <c:pt idx="1">
                  <c:v>6091.1109999999999</c:v>
                </c:pt>
                <c:pt idx="2">
                  <c:v>6104.7179999999998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29C-469C-ACBB-3556554E0E4B}"/>
            </c:ext>
          </c:extLst>
        </c:ser>
        <c:ser>
          <c:idx val="7"/>
          <c:order val="7"/>
          <c:tx>
            <c:strRef>
              <c:f>'Long Term'!$B$11</c:f>
              <c:strCache>
                <c:ptCount val="1"/>
                <c:pt idx="0">
                  <c:v>1111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'Long Term'!$C$3:$L$3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cat>
          <c:val>
            <c:numRef>
              <c:f>'Long Term'!$C$11:$L$11</c:f>
              <c:numCache>
                <c:formatCode>0.00</c:formatCode>
                <c:ptCount val="10"/>
                <c:pt idx="0">
                  <c:v>6083.4189999999999</c:v>
                </c:pt>
                <c:pt idx="1">
                  <c:v>6101.1109999999999</c:v>
                </c:pt>
                <c:pt idx="2">
                  <c:v>6120.0110000000004</c:v>
                </c:pt>
                <c:pt idx="3">
                  <c:v>6139.1909999999998</c:v>
                </c:pt>
                <c:pt idx="4">
                  <c:v>6159.6310000000003</c:v>
                </c:pt>
                <c:pt idx="5">
                  <c:v>6181.3410000000003</c:v>
                </c:pt>
                <c:pt idx="6">
                  <c:v>6204.3209999999999</c:v>
                </c:pt>
                <c:pt idx="7">
                  <c:v>6228.5309999999999</c:v>
                </c:pt>
                <c:pt idx="8">
                  <c:v>6254.8909999999996</c:v>
                </c:pt>
                <c:pt idx="9">
                  <c:v>6282.491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29C-469C-ACBB-3556554E0E4B}"/>
            </c:ext>
          </c:extLst>
        </c:ser>
        <c:ser>
          <c:idx val="8"/>
          <c:order val="8"/>
          <c:tx>
            <c:strRef>
              <c:f>'Long Term'!$B$12</c:f>
              <c:strCache>
                <c:ptCount val="1"/>
                <c:pt idx="0">
                  <c:v>2001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'Long Term'!$C$3:$L$3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cat>
          <c:val>
            <c:numRef>
              <c:f>'Long Term'!$C$12:$L$12</c:f>
              <c:numCache>
                <c:formatCode>0.00</c:formatCode>
                <c:ptCount val="10"/>
                <c:pt idx="0">
                  <c:v>5965</c:v>
                </c:pt>
                <c:pt idx="1">
                  <c:v>5988.25</c:v>
                </c:pt>
                <c:pt idx="2">
                  <c:v>6016.75</c:v>
                </c:pt>
                <c:pt idx="3">
                  <c:v>6047.15</c:v>
                </c:pt>
                <c:pt idx="4">
                  <c:v>6079.55</c:v>
                </c:pt>
                <c:pt idx="5">
                  <c:v>6085.95</c:v>
                </c:pt>
                <c:pt idx="6">
                  <c:v>6104.45</c:v>
                </c:pt>
                <c:pt idx="7">
                  <c:v>6125.05</c:v>
                </c:pt>
                <c:pt idx="8">
                  <c:v>6147.65</c:v>
                </c:pt>
                <c:pt idx="9">
                  <c:v>6171.25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29C-469C-ACBB-3556554E0E4B}"/>
            </c:ext>
          </c:extLst>
        </c:ser>
        <c:ser>
          <c:idx val="9"/>
          <c:order val="9"/>
          <c:tx>
            <c:strRef>
              <c:f>'Long Term'!$B$13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'Long Term'!$C$3:$L$3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cat>
          <c:val>
            <c:numRef>
              <c:f>'Long Term'!$C$13:$L$13</c:f>
              <c:numCache>
                <c:formatCode>0.00</c:formatCode>
                <c:ptCount val="10"/>
                <c:pt idx="0">
                  <c:v>6085.23</c:v>
                </c:pt>
                <c:pt idx="1">
                  <c:v>6099.15</c:v>
                </c:pt>
                <c:pt idx="2">
                  <c:v>6109.51</c:v>
                </c:pt>
                <c:pt idx="3">
                  <c:v>6120.19</c:v>
                </c:pt>
                <c:pt idx="4">
                  <c:v>6140.11</c:v>
                </c:pt>
                <c:pt idx="5">
                  <c:v>6151.29</c:v>
                </c:pt>
                <c:pt idx="6">
                  <c:v>6162.89</c:v>
                </c:pt>
                <c:pt idx="7">
                  <c:v>6174.91</c:v>
                </c:pt>
                <c:pt idx="8">
                  <c:v>6187.25</c:v>
                </c:pt>
                <c:pt idx="9">
                  <c:v>6200.01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29C-469C-ACBB-3556554E0E4B}"/>
            </c:ext>
          </c:extLst>
        </c:ser>
        <c:ser>
          <c:idx val="10"/>
          <c:order val="10"/>
          <c:tx>
            <c:strRef>
              <c:f>'Long Term'!$B$14</c:f>
              <c:strCache>
                <c:ptCount val="1"/>
                <c:pt idx="0">
                  <c:v>2101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'Long Term'!$C$3:$L$3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cat>
          <c:val>
            <c:numRef>
              <c:f>'Long Term'!$C$14:$L$14</c:f>
              <c:numCache>
                <c:formatCode>0.00</c:formatCode>
                <c:ptCount val="10"/>
                <c:pt idx="0">
                  <c:v>5965</c:v>
                </c:pt>
                <c:pt idx="1">
                  <c:v>5988.25</c:v>
                </c:pt>
                <c:pt idx="2">
                  <c:v>6016.75</c:v>
                </c:pt>
                <c:pt idx="3">
                  <c:v>6047.15</c:v>
                </c:pt>
                <c:pt idx="4">
                  <c:v>6079.55</c:v>
                </c:pt>
                <c:pt idx="5">
                  <c:v>6085.95</c:v>
                </c:pt>
                <c:pt idx="6">
                  <c:v>6104.45</c:v>
                </c:pt>
                <c:pt idx="7">
                  <c:v>6125.05</c:v>
                </c:pt>
                <c:pt idx="8">
                  <c:v>6147.65</c:v>
                </c:pt>
                <c:pt idx="9">
                  <c:v>6171.25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29C-469C-ACBB-3556554E0E4B}"/>
            </c:ext>
          </c:extLst>
        </c:ser>
        <c:ser>
          <c:idx val="11"/>
          <c:order val="11"/>
          <c:tx>
            <c:strRef>
              <c:f>'Long Term'!$B$15</c:f>
              <c:strCache>
                <c:ptCount val="1"/>
                <c:pt idx="0">
                  <c:v>2111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'Long Term'!$C$3:$L$3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cat>
          <c:val>
            <c:numRef>
              <c:f>'Long Term'!$C$15:$L$15</c:f>
              <c:numCache>
                <c:formatCode>0.00</c:formatCode>
                <c:ptCount val="10"/>
                <c:pt idx="0">
                  <c:v>6085.23</c:v>
                </c:pt>
                <c:pt idx="1">
                  <c:v>6099.15</c:v>
                </c:pt>
                <c:pt idx="2">
                  <c:v>6109.51</c:v>
                </c:pt>
                <c:pt idx="3">
                  <c:v>6120.19</c:v>
                </c:pt>
                <c:pt idx="4">
                  <c:v>6140.11</c:v>
                </c:pt>
                <c:pt idx="5">
                  <c:v>6151.29</c:v>
                </c:pt>
                <c:pt idx="6">
                  <c:v>6162.89</c:v>
                </c:pt>
                <c:pt idx="7">
                  <c:v>6174.91</c:v>
                </c:pt>
                <c:pt idx="8">
                  <c:v>6187.25</c:v>
                </c:pt>
                <c:pt idx="9">
                  <c:v>6200.01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29C-469C-ACBB-3556554E0E4B}"/>
            </c:ext>
          </c:extLst>
        </c:ser>
        <c:ser>
          <c:idx val="12"/>
          <c:order val="12"/>
          <c:tx>
            <c:strRef>
              <c:f>'Long Term'!$B$16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'Long Term'!$C$3:$L$3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cat>
          <c:val>
            <c:numRef>
              <c:f>'Long Term'!$C$16:$L$16</c:f>
              <c:numCache>
                <c:formatCode>0.00</c:formatCode>
                <c:ptCount val="10"/>
                <c:pt idx="0">
                  <c:v>6076.6948893229164</c:v>
                </c:pt>
                <c:pt idx="1">
                  <c:v>6098.0702096354171</c:v>
                </c:pt>
                <c:pt idx="2">
                  <c:v>6116.9297779947919</c:v>
                </c:pt>
                <c:pt idx="3">
                  <c:v>6138.382166796875</c:v>
                </c:pt>
                <c:pt idx="4">
                  <c:v>6162.2921023437502</c:v>
                </c:pt>
                <c:pt idx="5">
                  <c:v>6180.248028125</c:v>
                </c:pt>
                <c:pt idx="6">
                  <c:v>6199.5621492187493</c:v>
                </c:pt>
                <c:pt idx="7">
                  <c:v>6220.4180183593753</c:v>
                </c:pt>
                <c:pt idx="8">
                  <c:v>6207.2352499999997</c:v>
                </c:pt>
                <c:pt idx="9">
                  <c:v>6251.2802500000007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29C-469C-ACBB-3556554E0E4B}"/>
            </c:ext>
          </c:extLst>
        </c:ser>
        <c:ser>
          <c:idx val="13"/>
          <c:order val="13"/>
          <c:tx>
            <c:strRef>
              <c:f>'Long Term'!$B$17</c:f>
              <c:strCache>
                <c:ptCount val="1"/>
                <c:pt idx="0">
                  <c:v>Actual Price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'Long Term'!$C$3:$L$3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cat>
          <c:val>
            <c:numRef>
              <c:f>'Long Term'!$C$17:$L$17</c:f>
              <c:numCache>
                <c:formatCode>0.00</c:formatCode>
                <c:ptCount val="10"/>
                <c:pt idx="0">
                  <c:v>6040.52978515625</c:v>
                </c:pt>
                <c:pt idx="1">
                  <c:v>5994.56982421875</c:v>
                </c:pt>
                <c:pt idx="2">
                  <c:v>6037.8798828125</c:v>
                </c:pt>
                <c:pt idx="3">
                  <c:v>6061.47998046875</c:v>
                </c:pt>
                <c:pt idx="4">
                  <c:v>6083.56982421875</c:v>
                </c:pt>
                <c:pt idx="5">
                  <c:v>6025.990234375</c:v>
                </c:pt>
                <c:pt idx="6">
                  <c:v>6066.43994140625</c:v>
                </c:pt>
                <c:pt idx="7">
                  <c:v>6068.5</c:v>
                </c:pt>
                <c:pt idx="8">
                  <c:v>6051.97021484375</c:v>
                </c:pt>
                <c:pt idx="9">
                  <c:v>6115.06982421875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29C-469C-ACBB-3556554E0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6476431"/>
        <c:axId val="1566474991"/>
      </c:lineChart>
      <c:catAx>
        <c:axId val="156647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474991"/>
        <c:crosses val="autoZero"/>
        <c:auto val="1"/>
        <c:lblAlgn val="ctr"/>
        <c:lblOffset val="100"/>
        <c:noMultiLvlLbl val="0"/>
      </c:catAx>
      <c:valAx>
        <c:axId val="1566474991"/>
        <c:scaling>
          <c:orientation val="minMax"/>
          <c:max val="6400"/>
          <c:min val="5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47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Long-term</a:t>
            </a:r>
            <a:r>
              <a:rPr lang="en-MY" baseline="0"/>
              <a:t> Prediction </a:t>
            </a:r>
            <a:r>
              <a:rPr lang="en-MY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Error Indicators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'Long Term'!$T$3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'Long Term'!$S$4:$S$16</c:f>
              <c:strCache>
                <c:ptCount val="13"/>
                <c:pt idx="0">
                  <c:v>0000</c:v>
                </c:pt>
                <c:pt idx="1">
                  <c:v>0010</c:v>
                </c:pt>
                <c:pt idx="2">
                  <c:v>0100</c:v>
                </c:pt>
                <c:pt idx="3">
                  <c:v>0110</c:v>
                </c:pt>
                <c:pt idx="4">
                  <c:v>1000</c:v>
                </c:pt>
                <c:pt idx="5">
                  <c:v>1010</c:v>
                </c:pt>
                <c:pt idx="6">
                  <c:v>1100</c:v>
                </c:pt>
                <c:pt idx="7">
                  <c:v>1110</c:v>
                </c:pt>
                <c:pt idx="8">
                  <c:v>2000</c:v>
                </c:pt>
                <c:pt idx="9">
                  <c:v>2010</c:v>
                </c:pt>
                <c:pt idx="10">
                  <c:v>2100</c:v>
                </c:pt>
                <c:pt idx="11">
                  <c:v>2110</c:v>
                </c:pt>
                <c:pt idx="12">
                  <c:v>Average</c:v>
                </c:pt>
              </c:strCache>
            </c:strRef>
          </c:cat>
          <c:val>
            <c:numRef>
              <c:f>'Long Term'!$T$4:$T$16</c:f>
              <c:numCache>
                <c:formatCode>0.00</c:formatCode>
                <c:ptCount val="13"/>
                <c:pt idx="0">
                  <c:v>188.56451416015511</c:v>
                </c:pt>
                <c:pt idx="1">
                  <c:v>148.54004882812495</c:v>
                </c:pt>
                <c:pt idx="2">
                  <c:v>188.56451416015511</c:v>
                </c:pt>
                <c:pt idx="3">
                  <c:v>148.54004882812495</c:v>
                </c:pt>
                <c:pt idx="4">
                  <c:v>60.120169270833379</c:v>
                </c:pt>
                <c:pt idx="5">
                  <c:v>120.89384882812502</c:v>
                </c:pt>
                <c:pt idx="6">
                  <c:v>60.120169270833379</c:v>
                </c:pt>
                <c:pt idx="7">
                  <c:v>120.89384882812502</c:v>
                </c:pt>
                <c:pt idx="8">
                  <c:v>42.770908203124961</c:v>
                </c:pt>
                <c:pt idx="9">
                  <c:v>88.454048828124911</c:v>
                </c:pt>
                <c:pt idx="10">
                  <c:v>42.770908203124961</c:v>
                </c:pt>
                <c:pt idx="11">
                  <c:v>88.454048828124911</c:v>
                </c:pt>
                <c:pt idx="12">
                  <c:v>110.51133300781257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7-46FF-8064-31CB5A6F1453}"/>
            </c:ext>
          </c:extLst>
        </c:ser>
        <c:ser>
          <c:idx val="2"/>
          <c:order val="2"/>
          <c:tx>
            <c:strRef>
              <c:f>'Long Term'!$V$3</c:f>
              <c:strCache>
                <c:ptCount val="1"/>
                <c:pt idx="0">
                  <c:v>RMSE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'Long Term'!$S$4:$S$16</c:f>
              <c:strCache>
                <c:ptCount val="13"/>
                <c:pt idx="0">
                  <c:v>0000</c:v>
                </c:pt>
                <c:pt idx="1">
                  <c:v>0010</c:v>
                </c:pt>
                <c:pt idx="2">
                  <c:v>0100</c:v>
                </c:pt>
                <c:pt idx="3">
                  <c:v>0110</c:v>
                </c:pt>
                <c:pt idx="4">
                  <c:v>1000</c:v>
                </c:pt>
                <c:pt idx="5">
                  <c:v>1010</c:v>
                </c:pt>
                <c:pt idx="6">
                  <c:v>1100</c:v>
                </c:pt>
                <c:pt idx="7">
                  <c:v>1110</c:v>
                </c:pt>
                <c:pt idx="8">
                  <c:v>2000</c:v>
                </c:pt>
                <c:pt idx="9">
                  <c:v>2010</c:v>
                </c:pt>
                <c:pt idx="10">
                  <c:v>2100</c:v>
                </c:pt>
                <c:pt idx="11">
                  <c:v>2110</c:v>
                </c:pt>
                <c:pt idx="12">
                  <c:v>Average</c:v>
                </c:pt>
              </c:strCache>
            </c:strRef>
          </c:cat>
          <c:val>
            <c:numRef>
              <c:f>'Long Term'!$V$4:$V$16</c:f>
              <c:numCache>
                <c:formatCode>0.00</c:formatCode>
                <c:ptCount val="13"/>
                <c:pt idx="0">
                  <c:v>197.97238629331383</c:v>
                </c:pt>
                <c:pt idx="1">
                  <c:v>154.16200778075799</c:v>
                </c:pt>
                <c:pt idx="2">
                  <c:v>197.97238629331383</c:v>
                </c:pt>
                <c:pt idx="3">
                  <c:v>154.16200778075799</c:v>
                </c:pt>
                <c:pt idx="4">
                  <c:v>68.497917700627369</c:v>
                </c:pt>
                <c:pt idx="5">
                  <c:v>130.27739447949358</c:v>
                </c:pt>
                <c:pt idx="6">
                  <c:v>68.497917700627369</c:v>
                </c:pt>
                <c:pt idx="7">
                  <c:v>130.27739447949358</c:v>
                </c:pt>
                <c:pt idx="8">
                  <c:v>51.924312113905792</c:v>
                </c:pt>
                <c:pt idx="9">
                  <c:v>93.032704375736799</c:v>
                </c:pt>
                <c:pt idx="10">
                  <c:v>51.924312113905792</c:v>
                </c:pt>
                <c:pt idx="11">
                  <c:v>93.032704375736799</c:v>
                </c:pt>
                <c:pt idx="12">
                  <c:v>117.31873613607661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E7-46FF-8064-31CB5A6F1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2556655"/>
        <c:axId val="149255377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'Long Term'!$U$3</c15:sqref>
                        </c15:formulaRef>
                      </c:ext>
                    </c:extLst>
                    <c:strCache>
                      <c:ptCount val="1"/>
                      <c:pt idx="0">
                        <c:v>MSE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'Long Term'!$S$4:$S$16</c15:sqref>
                        </c15:formulaRef>
                      </c:ext>
                    </c:extLst>
                    <c:strCache>
                      <c:ptCount val="13"/>
                      <c:pt idx="0">
                        <c:v>0000</c:v>
                      </c:pt>
                      <c:pt idx="1">
                        <c:v>0010</c:v>
                      </c:pt>
                      <c:pt idx="2">
                        <c:v>0100</c:v>
                      </c:pt>
                      <c:pt idx="3">
                        <c:v>0110</c:v>
                      </c:pt>
                      <c:pt idx="4">
                        <c:v>1000</c:v>
                      </c:pt>
                      <c:pt idx="5">
                        <c:v>1010</c:v>
                      </c:pt>
                      <c:pt idx="6">
                        <c:v>1100</c:v>
                      </c:pt>
                      <c:pt idx="7">
                        <c:v>1110</c:v>
                      </c:pt>
                      <c:pt idx="8">
                        <c:v>2000</c:v>
                      </c:pt>
                      <c:pt idx="9">
                        <c:v>2010</c:v>
                      </c:pt>
                      <c:pt idx="10">
                        <c:v>2100</c:v>
                      </c:pt>
                      <c:pt idx="11">
                        <c:v>2110</c:v>
                      </c:pt>
                      <c:pt idx="12">
                        <c:v>Average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'Long Term'!$U$4:$U$16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39193.065734669079</c:v>
                      </c:pt>
                      <c:pt idx="1">
                        <c:v>23765.924642994483</c:v>
                      </c:pt>
                      <c:pt idx="2">
                        <c:v>39193.065734669079</c:v>
                      </c:pt>
                      <c:pt idx="3">
                        <c:v>23765.924642994483</c:v>
                      </c:pt>
                      <c:pt idx="4">
                        <c:v>4691.9647293219205</c:v>
                      </c:pt>
                      <c:pt idx="5">
                        <c:v>16972.199512365587</c:v>
                      </c:pt>
                      <c:pt idx="6">
                        <c:v>4691.9647293219205</c:v>
                      </c:pt>
                      <c:pt idx="7">
                        <c:v>16972.199512365587</c:v>
                      </c:pt>
                      <c:pt idx="8">
                        <c:v>2696.1341885023039</c:v>
                      </c:pt>
                      <c:pt idx="9">
                        <c:v>8655.0840834632381</c:v>
                      </c:pt>
                      <c:pt idx="10">
                        <c:v>2696.1341885023039</c:v>
                      </c:pt>
                      <c:pt idx="11">
                        <c:v>8655.0840834632381</c:v>
                      </c:pt>
                      <c:pt idx="12">
                        <c:v>13763.685848566369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9E7-46FF-8064-31CB5A6F1453}"/>
                  </c:ext>
                </c:extLst>
              </c15:ser>
            </c15:filteredBarSeries>
          </c:ext>
        </c:extLst>
      </c:barChart>
      <c:catAx>
        <c:axId val="149255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53775"/>
        <c:crosses val="autoZero"/>
        <c:auto val="1"/>
        <c:lblAlgn val="ctr"/>
        <c:lblOffset val="100"/>
        <c:noMultiLvlLbl val="0"/>
      </c:catAx>
      <c:valAx>
        <c:axId val="149255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5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571499</xdr:colOff>
      <xdr:row>47</xdr:row>
      <xdr:rowOff>132522</xdr:rowOff>
    </xdr:from>
    <xdr:to>
      <xdr:col>11</xdr:col>
      <xdr:colOff>240195</xdr:colOff>
      <xdr:row>70</xdr:row>
      <xdr:rowOff>149087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E96F6F-CFE6-ACEC-40A6-A861FF5BA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12424</xdr:colOff>
      <xdr:row>75</xdr:row>
      <xdr:rowOff>148259</xdr:rowOff>
    </xdr:from>
    <xdr:to>
      <xdr:col>7</xdr:col>
      <xdr:colOff>302315</xdr:colOff>
      <xdr:row>90</xdr:row>
      <xdr:rowOff>33959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1AACC4-F590-3CDC-6F03-864E25C38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442912</xdr:colOff>
      <xdr:row>49</xdr:row>
      <xdr:rowOff>47625</xdr:rowOff>
    </xdr:from>
    <xdr:to>
      <xdr:col>14</xdr:col>
      <xdr:colOff>76200</xdr:colOff>
      <xdr:row>73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6D83DF-D805-89AC-2D8C-70B2E47CC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924483</xdr:colOff>
      <xdr:row>73</xdr:row>
      <xdr:rowOff>40342</xdr:rowOff>
    </xdr:from>
    <xdr:to>
      <xdr:col>14</xdr:col>
      <xdr:colOff>470646</xdr:colOff>
      <xdr:row>92</xdr:row>
      <xdr:rowOff>11206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245BB7-3AEC-7AEC-833F-80809EDC9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F2119-B915-47D2-B209-9C00D6B26078}">
  <dimension ref="B2:Y26"/>
  <sheetViews>
    <sheetView workbookViewId="0">
      <selection activeCell="Y24" sqref="Y24"/>
    </sheetView>
  </sheetViews>
  <sheetFormatPr defaultRowHeight="15" x14ac:dyDescent="0.25"/>
  <cols>
    <col min="2" max="2" width="9.140625" style="3"/>
    <col min="8" max="9" width="7.5703125" bestFit="1" customWidth="1"/>
    <col min="10" max="10" width="7.7109375" bestFit="1" customWidth="1"/>
    <col min="11" max="11" width="9.7109375" bestFit="1" customWidth="1"/>
    <col min="12" max="12" width="11.140625" bestFit="1" customWidth="1"/>
    <col min="16" max="16" width="9.7109375" bestFit="1" customWidth="1"/>
    <col min="17" max="17" width="11.140625" bestFit="1" customWidth="1"/>
  </cols>
  <sheetData>
    <row r="2" spans="2:25" ht="30" x14ac:dyDescent="0.25">
      <c r="B2" s="3" t="s">
        <v>12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0</v>
      </c>
      <c r="N2" s="1" t="s">
        <v>1</v>
      </c>
      <c r="O2" s="1" t="s">
        <v>2</v>
      </c>
      <c r="P2" s="1" t="s">
        <v>3</v>
      </c>
      <c r="Q2" s="1" t="s">
        <v>4</v>
      </c>
    </row>
    <row r="3" spans="2:25" x14ac:dyDescent="0.25">
      <c r="B3" s="3" t="s">
        <v>13</v>
      </c>
      <c r="C3" s="2">
        <v>6134.19</v>
      </c>
      <c r="D3" s="2">
        <v>6161.41</v>
      </c>
      <c r="E3" s="2">
        <v>6188.63</v>
      </c>
      <c r="F3" s="2">
        <v>6215.85</v>
      </c>
      <c r="G3" s="2">
        <v>6243.07</v>
      </c>
      <c r="M3" s="2">
        <v>6141.11</v>
      </c>
      <c r="N3" s="2">
        <v>6263.93</v>
      </c>
      <c r="O3" s="2" t="s">
        <v>5</v>
      </c>
      <c r="P3" s="2" t="s">
        <v>6</v>
      </c>
      <c r="Q3" s="2">
        <v>0.73</v>
      </c>
      <c r="Y3" s="4" t="s">
        <v>49</v>
      </c>
    </row>
    <row r="4" spans="2:25" x14ac:dyDescent="0.25">
      <c r="B4" s="3" t="s">
        <v>14</v>
      </c>
      <c r="C4">
        <v>6134.8193359375</v>
      </c>
      <c r="D4">
        <v>6161.4892578125</v>
      </c>
      <c r="E4">
        <v>6190.15966796875</v>
      </c>
      <c r="F4">
        <v>6211.8298339843705</v>
      </c>
      <c r="G4">
        <v>6245.49951171875</v>
      </c>
      <c r="H4">
        <v>6282.869140625</v>
      </c>
      <c r="I4">
        <v>6313.23974609375</v>
      </c>
      <c r="J4">
        <v>6347.5690917968705</v>
      </c>
      <c r="M4">
        <v>5950.3095703125</v>
      </c>
      <c r="N4">
        <v>6357.5393066406205</v>
      </c>
      <c r="O4" t="s">
        <v>5</v>
      </c>
      <c r="P4" t="s">
        <v>6</v>
      </c>
      <c r="Q4">
        <v>0.65</v>
      </c>
      <c r="Y4" s="4" t="s">
        <v>50</v>
      </c>
    </row>
    <row r="5" spans="2:25" x14ac:dyDescent="0.25">
      <c r="B5" s="3" t="s">
        <v>15</v>
      </c>
      <c r="C5">
        <v>6134.19</v>
      </c>
      <c r="D5">
        <v>6161.31</v>
      </c>
      <c r="E5">
        <v>6188.43</v>
      </c>
      <c r="F5">
        <v>6205.55</v>
      </c>
      <c r="G5">
        <v>6222.67</v>
      </c>
      <c r="M5">
        <v>6141.11</v>
      </c>
      <c r="N5">
        <v>6213.33</v>
      </c>
      <c r="O5" t="s">
        <v>5</v>
      </c>
      <c r="P5" t="s">
        <v>6</v>
      </c>
      <c r="Q5">
        <v>0.73</v>
      </c>
      <c r="Y5" s="4" t="s">
        <v>51</v>
      </c>
    </row>
    <row r="6" spans="2:25" x14ac:dyDescent="0.25">
      <c r="B6" s="3" t="s">
        <v>21</v>
      </c>
      <c r="C6">
        <v>6134.19</v>
      </c>
      <c r="D6">
        <v>6147.31</v>
      </c>
      <c r="E6">
        <v>6160.43</v>
      </c>
      <c r="F6">
        <v>6173.55</v>
      </c>
      <c r="G6">
        <v>6186.67</v>
      </c>
      <c r="H6">
        <v>6199.79</v>
      </c>
      <c r="I6">
        <v>6212.91</v>
      </c>
      <c r="J6">
        <v>6226.03</v>
      </c>
      <c r="K6">
        <v>6239.15</v>
      </c>
      <c r="L6">
        <v>6351.37</v>
      </c>
      <c r="M6">
        <v>5950.74</v>
      </c>
      <c r="N6">
        <v>6341.39</v>
      </c>
      <c r="O6" t="s">
        <v>5</v>
      </c>
      <c r="P6" t="s">
        <v>6</v>
      </c>
      <c r="Q6">
        <v>0</v>
      </c>
      <c r="Y6" s="4" t="s">
        <v>52</v>
      </c>
    </row>
    <row r="7" spans="2:25" x14ac:dyDescent="0.25">
      <c r="B7" s="3" t="s">
        <v>22</v>
      </c>
      <c r="C7">
        <v>6134.19</v>
      </c>
      <c r="D7">
        <v>6161.41</v>
      </c>
      <c r="E7">
        <v>6188.63</v>
      </c>
      <c r="F7">
        <v>6215.85</v>
      </c>
      <c r="G7">
        <v>6243.07</v>
      </c>
      <c r="M7">
        <v>6141.11</v>
      </c>
      <c r="N7">
        <v>6263.93</v>
      </c>
      <c r="O7" t="s">
        <v>5</v>
      </c>
      <c r="P7" t="s">
        <v>6</v>
      </c>
      <c r="Q7">
        <v>0.73</v>
      </c>
      <c r="Y7" s="4"/>
    </row>
    <row r="8" spans="2:25" x14ac:dyDescent="0.25">
      <c r="B8" s="3" t="s">
        <v>23</v>
      </c>
      <c r="C8">
        <v>6134.8193359375</v>
      </c>
      <c r="D8">
        <v>6161.4892578125</v>
      </c>
      <c r="E8">
        <v>6190.15966796875</v>
      </c>
      <c r="F8">
        <v>6211.8298339843705</v>
      </c>
      <c r="G8">
        <v>6245.49951171875</v>
      </c>
      <c r="H8">
        <v>6282.869140625</v>
      </c>
      <c r="I8">
        <v>6313.23974609375</v>
      </c>
      <c r="J8">
        <v>6347.5690917968705</v>
      </c>
      <c r="M8">
        <v>5950.3095703125</v>
      </c>
      <c r="N8">
        <v>6357.5393066406205</v>
      </c>
      <c r="O8" t="s">
        <v>5</v>
      </c>
      <c r="P8" t="s">
        <v>6</v>
      </c>
      <c r="Q8">
        <v>0.65</v>
      </c>
      <c r="Y8" s="4" t="s">
        <v>53</v>
      </c>
    </row>
    <row r="9" spans="2:25" x14ac:dyDescent="0.25">
      <c r="B9" s="3" t="s">
        <v>26</v>
      </c>
      <c r="C9">
        <v>6134.19</v>
      </c>
      <c r="D9">
        <v>6161.31</v>
      </c>
      <c r="E9">
        <v>6188.43</v>
      </c>
      <c r="F9">
        <v>6205.55</v>
      </c>
      <c r="G9">
        <v>6222.67</v>
      </c>
      <c r="M9">
        <v>6141.11</v>
      </c>
      <c r="N9">
        <v>6213.33</v>
      </c>
      <c r="O9" t="s">
        <v>5</v>
      </c>
      <c r="P9" t="s">
        <v>6</v>
      </c>
      <c r="Q9">
        <v>0.73</v>
      </c>
      <c r="Y9" s="4" t="s">
        <v>54</v>
      </c>
    </row>
    <row r="10" spans="2:25" x14ac:dyDescent="0.25">
      <c r="B10" s="3" t="s">
        <v>27</v>
      </c>
      <c r="C10">
        <v>6134.19</v>
      </c>
      <c r="D10">
        <v>6147.31</v>
      </c>
      <c r="E10">
        <v>6160.43</v>
      </c>
      <c r="F10">
        <v>6173.55</v>
      </c>
      <c r="G10">
        <v>6186.67</v>
      </c>
      <c r="H10">
        <v>6199.79</v>
      </c>
      <c r="I10">
        <v>6212.91</v>
      </c>
      <c r="J10">
        <v>6226.03</v>
      </c>
      <c r="K10">
        <v>6239.15</v>
      </c>
      <c r="L10">
        <v>6351.37</v>
      </c>
      <c r="M10">
        <v>5950.74</v>
      </c>
      <c r="N10">
        <v>6341.39</v>
      </c>
      <c r="O10" t="s">
        <v>5</v>
      </c>
      <c r="P10" t="s">
        <v>6</v>
      </c>
      <c r="Q10">
        <v>0</v>
      </c>
      <c r="Y10" s="4" t="s">
        <v>55</v>
      </c>
    </row>
    <row r="11" spans="2:25" x14ac:dyDescent="0.25">
      <c r="B11" s="3" t="s">
        <v>28</v>
      </c>
      <c r="C11">
        <v>6057.5110000000004</v>
      </c>
      <c r="D11">
        <v>6091.1109999999999</v>
      </c>
      <c r="E11">
        <v>6104.7179999999998</v>
      </c>
      <c r="M11">
        <v>6049.9989999999998</v>
      </c>
      <c r="N11">
        <v>6118.2219999999998</v>
      </c>
      <c r="O11" t="s">
        <v>24</v>
      </c>
      <c r="P11" t="s">
        <v>25</v>
      </c>
      <c r="Q11">
        <v>0.75</v>
      </c>
      <c r="Y11" s="4"/>
    </row>
    <row r="12" spans="2:25" x14ac:dyDescent="0.25">
      <c r="B12" s="3" t="s">
        <v>29</v>
      </c>
      <c r="C12">
        <v>6057.5110000000004</v>
      </c>
      <c r="D12">
        <v>6091.1109999999999</v>
      </c>
      <c r="E12">
        <v>6104.7179999999998</v>
      </c>
      <c r="M12">
        <v>6049.9989999999998</v>
      </c>
      <c r="N12">
        <v>6118.2219999999998</v>
      </c>
      <c r="O12" t="s">
        <v>24</v>
      </c>
      <c r="P12" t="s">
        <v>25</v>
      </c>
      <c r="Q12">
        <v>0.75</v>
      </c>
      <c r="Y12" s="4" t="s">
        <v>56</v>
      </c>
    </row>
    <row r="13" spans="2:25" x14ac:dyDescent="0.25">
      <c r="B13" s="3" t="s">
        <v>30</v>
      </c>
      <c r="C13">
        <v>6083.1109999999999</v>
      </c>
      <c r="D13">
        <v>6094.4189999999999</v>
      </c>
      <c r="E13">
        <v>6105.7269999999999</v>
      </c>
      <c r="F13">
        <v>6117.0349999999999</v>
      </c>
      <c r="G13">
        <v>6128.3429999999998</v>
      </c>
      <c r="M13">
        <v>6069.8190000000004</v>
      </c>
      <c r="N13">
        <v>6146.8670000000002</v>
      </c>
      <c r="O13" t="s">
        <v>5</v>
      </c>
      <c r="P13" t="s">
        <v>6</v>
      </c>
      <c r="Q13">
        <v>0.57999999999999996</v>
      </c>
      <c r="Y13" s="4" t="s">
        <v>57</v>
      </c>
    </row>
    <row r="14" spans="2:25" x14ac:dyDescent="0.25">
      <c r="B14" s="3" t="s">
        <v>31</v>
      </c>
      <c r="C14">
        <v>6083.4189999999999</v>
      </c>
      <c r="D14">
        <v>6101.1109999999999</v>
      </c>
      <c r="E14">
        <v>6120.0110000000004</v>
      </c>
      <c r="F14">
        <v>6139.1909999999998</v>
      </c>
      <c r="G14">
        <v>6159.6310000000003</v>
      </c>
      <c r="H14">
        <v>6181.3410000000003</v>
      </c>
      <c r="I14">
        <v>6204.3209999999999</v>
      </c>
      <c r="J14">
        <v>6228.5309999999999</v>
      </c>
      <c r="K14">
        <v>6254.8909999999996</v>
      </c>
      <c r="L14">
        <v>6282.491</v>
      </c>
      <c r="M14">
        <v>6069.8190000000004</v>
      </c>
      <c r="N14">
        <v>6321.4309999999996</v>
      </c>
      <c r="O14" t="s">
        <v>24</v>
      </c>
      <c r="P14" t="s">
        <v>6</v>
      </c>
      <c r="Q14">
        <v>0.623</v>
      </c>
      <c r="Y14" s="4" t="s">
        <v>58</v>
      </c>
    </row>
    <row r="15" spans="2:25" x14ac:dyDescent="0.25">
      <c r="B15" s="3" t="s">
        <v>32</v>
      </c>
      <c r="C15">
        <v>6057.5110000000004</v>
      </c>
      <c r="D15">
        <v>6091.1109999999999</v>
      </c>
      <c r="E15">
        <v>6104.7179999999998</v>
      </c>
      <c r="M15">
        <v>6049.9989999999998</v>
      </c>
      <c r="N15">
        <v>6118.2219999999998</v>
      </c>
      <c r="O15" t="s">
        <v>24</v>
      </c>
      <c r="P15" t="s">
        <v>25</v>
      </c>
      <c r="Q15">
        <v>0.75</v>
      </c>
      <c r="Y15" s="4" t="s">
        <v>59</v>
      </c>
    </row>
    <row r="16" spans="2:25" x14ac:dyDescent="0.25">
      <c r="B16" s="3" t="s">
        <v>33</v>
      </c>
      <c r="C16">
        <v>6057.5110000000004</v>
      </c>
      <c r="D16">
        <v>6091.1109999999999</v>
      </c>
      <c r="E16">
        <v>6104.7179999999998</v>
      </c>
      <c r="M16">
        <v>6049.9989999999998</v>
      </c>
      <c r="N16">
        <v>6118.2219999999998</v>
      </c>
      <c r="O16" t="s">
        <v>24</v>
      </c>
      <c r="P16" t="s">
        <v>25</v>
      </c>
      <c r="Q16">
        <v>0.75</v>
      </c>
      <c r="Y16" s="4" t="s">
        <v>60</v>
      </c>
    </row>
    <row r="17" spans="2:25" x14ac:dyDescent="0.25">
      <c r="B17" s="3" t="s">
        <v>34</v>
      </c>
      <c r="C17">
        <v>6083.1109999999999</v>
      </c>
      <c r="D17">
        <v>6094.4189999999999</v>
      </c>
      <c r="E17">
        <v>6105.7269999999999</v>
      </c>
      <c r="F17">
        <v>6117.0349999999999</v>
      </c>
      <c r="G17">
        <v>6128.3429999999998</v>
      </c>
      <c r="M17">
        <v>6069.8190000000004</v>
      </c>
      <c r="N17">
        <v>6146.8670000000002</v>
      </c>
      <c r="O17" t="s">
        <v>5</v>
      </c>
      <c r="P17" t="s">
        <v>6</v>
      </c>
      <c r="Q17">
        <v>0.57999999999999996</v>
      </c>
      <c r="Y17" s="4" t="s">
        <v>61</v>
      </c>
    </row>
    <row r="18" spans="2:25" x14ac:dyDescent="0.25">
      <c r="B18" s="3" t="s">
        <v>35</v>
      </c>
      <c r="C18">
        <v>6083.4189999999999</v>
      </c>
      <c r="D18">
        <v>6101.1109999999999</v>
      </c>
      <c r="E18">
        <v>6120.0110000000004</v>
      </c>
      <c r="F18">
        <v>6139.1909999999998</v>
      </c>
      <c r="G18">
        <v>6159.6310000000003</v>
      </c>
      <c r="H18">
        <v>6181.3410000000003</v>
      </c>
      <c r="I18">
        <v>6204.3209999999999</v>
      </c>
      <c r="J18">
        <v>6228.5309999999999</v>
      </c>
      <c r="K18">
        <v>6254.8909999999996</v>
      </c>
      <c r="L18">
        <v>6282.491</v>
      </c>
      <c r="M18">
        <v>6069.8190000000004</v>
      </c>
      <c r="N18">
        <v>6321.4309999999996</v>
      </c>
      <c r="O18" t="s">
        <v>24</v>
      </c>
      <c r="P18" t="s">
        <v>6</v>
      </c>
      <c r="Q18">
        <v>0.623</v>
      </c>
      <c r="Y18" s="4" t="s">
        <v>62</v>
      </c>
    </row>
    <row r="19" spans="2:25" x14ac:dyDescent="0.25">
      <c r="B19" s="3" t="s">
        <v>38</v>
      </c>
      <c r="C19">
        <v>5968.23</v>
      </c>
      <c r="D19">
        <v>5989.56</v>
      </c>
      <c r="E19">
        <v>6009.89</v>
      </c>
      <c r="F19">
        <v>6030.22</v>
      </c>
      <c r="G19">
        <v>6050.55</v>
      </c>
      <c r="M19">
        <v>5843.45</v>
      </c>
      <c r="N19">
        <v>6157.65</v>
      </c>
      <c r="O19" t="s">
        <v>36</v>
      </c>
      <c r="P19" t="s">
        <v>37</v>
      </c>
      <c r="Q19">
        <v>0.85</v>
      </c>
    </row>
    <row r="20" spans="2:25" x14ac:dyDescent="0.25">
      <c r="B20" s="3" t="s">
        <v>39</v>
      </c>
      <c r="C20">
        <v>5965</v>
      </c>
      <c r="D20">
        <v>5988.25</v>
      </c>
      <c r="E20">
        <v>6016.75</v>
      </c>
      <c r="F20">
        <v>6047.15</v>
      </c>
      <c r="G20">
        <v>6079.55</v>
      </c>
      <c r="H20">
        <v>6085.95</v>
      </c>
      <c r="I20">
        <v>6104.45</v>
      </c>
      <c r="J20">
        <v>6125.05</v>
      </c>
      <c r="K20">
        <v>6147.65</v>
      </c>
      <c r="L20">
        <v>6171.25</v>
      </c>
      <c r="M20">
        <v>5850</v>
      </c>
      <c r="N20">
        <v>6200</v>
      </c>
      <c r="O20" t="s">
        <v>36</v>
      </c>
      <c r="P20" t="s">
        <v>6</v>
      </c>
      <c r="Q20">
        <v>0.85</v>
      </c>
    </row>
    <row r="21" spans="2:25" x14ac:dyDescent="0.25">
      <c r="B21" s="3" t="s">
        <v>41</v>
      </c>
      <c r="C21">
        <v>6089.15</v>
      </c>
      <c r="D21">
        <v>6097.23</v>
      </c>
      <c r="E21">
        <v>6105.31</v>
      </c>
      <c r="F21">
        <v>6113.39</v>
      </c>
      <c r="G21">
        <v>6121.47</v>
      </c>
      <c r="M21">
        <v>6079.11</v>
      </c>
      <c r="N21">
        <v>6123.83</v>
      </c>
      <c r="O21" t="s">
        <v>40</v>
      </c>
      <c r="P21" t="s">
        <v>6</v>
      </c>
      <c r="Q21">
        <v>0.75</v>
      </c>
    </row>
    <row r="22" spans="2:25" x14ac:dyDescent="0.25">
      <c r="B22" s="3" t="s">
        <v>43</v>
      </c>
      <c r="C22">
        <v>6085.23</v>
      </c>
      <c r="D22">
        <v>6099.15</v>
      </c>
      <c r="E22">
        <v>6109.51</v>
      </c>
      <c r="F22">
        <v>6120.19</v>
      </c>
      <c r="G22">
        <v>6140.11</v>
      </c>
      <c r="H22">
        <v>6151.29</v>
      </c>
      <c r="I22">
        <v>6162.89</v>
      </c>
      <c r="J22">
        <v>6174.91</v>
      </c>
      <c r="K22">
        <v>6187.25</v>
      </c>
      <c r="L22">
        <v>6200.01</v>
      </c>
      <c r="M22">
        <v>5983.99</v>
      </c>
      <c r="N22">
        <v>6211.02</v>
      </c>
      <c r="O22" t="s">
        <v>42</v>
      </c>
      <c r="P22" t="s">
        <v>6</v>
      </c>
      <c r="Q22">
        <v>0.82</v>
      </c>
    </row>
    <row r="23" spans="2:25" x14ac:dyDescent="0.25">
      <c r="B23" s="3" t="s">
        <v>48</v>
      </c>
      <c r="C23">
        <v>5968.23</v>
      </c>
      <c r="D23">
        <v>5989.56</v>
      </c>
      <c r="E23">
        <v>6009.89</v>
      </c>
      <c r="F23">
        <v>6030.22</v>
      </c>
      <c r="G23">
        <v>6050.55</v>
      </c>
      <c r="M23">
        <v>5843.45</v>
      </c>
      <c r="N23">
        <v>6157.65</v>
      </c>
      <c r="O23" t="s">
        <v>36</v>
      </c>
      <c r="P23" t="s">
        <v>37</v>
      </c>
      <c r="Q23">
        <v>0.85</v>
      </c>
    </row>
    <row r="24" spans="2:25" x14ac:dyDescent="0.25">
      <c r="B24" s="3" t="s">
        <v>47</v>
      </c>
      <c r="C24">
        <v>5965</v>
      </c>
      <c r="D24">
        <v>5988.25</v>
      </c>
      <c r="E24">
        <v>6016.75</v>
      </c>
      <c r="F24">
        <v>6047.15</v>
      </c>
      <c r="G24">
        <v>6079.55</v>
      </c>
      <c r="H24">
        <v>6085.95</v>
      </c>
      <c r="I24">
        <v>6104.45</v>
      </c>
      <c r="J24">
        <v>6125.05</v>
      </c>
      <c r="K24">
        <v>6147.65</v>
      </c>
      <c r="L24">
        <v>6171.25</v>
      </c>
      <c r="M24">
        <v>5850</v>
      </c>
      <c r="N24">
        <v>6200</v>
      </c>
      <c r="O24" t="s">
        <v>36</v>
      </c>
      <c r="P24" t="s">
        <v>6</v>
      </c>
      <c r="Q24">
        <v>0.85</v>
      </c>
    </row>
    <row r="25" spans="2:25" x14ac:dyDescent="0.25">
      <c r="B25" s="3" t="s">
        <v>46</v>
      </c>
      <c r="C25">
        <v>6089.15</v>
      </c>
      <c r="D25">
        <v>6097.23</v>
      </c>
      <c r="E25">
        <v>6105.31</v>
      </c>
      <c r="F25">
        <v>6113.39</v>
      </c>
      <c r="G25">
        <v>6121.47</v>
      </c>
      <c r="M25">
        <v>6079.11</v>
      </c>
      <c r="N25">
        <v>6123.83</v>
      </c>
      <c r="O25" t="s">
        <v>44</v>
      </c>
      <c r="P25" t="s">
        <v>6</v>
      </c>
      <c r="Q25">
        <v>0.75</v>
      </c>
    </row>
    <row r="26" spans="2:25" x14ac:dyDescent="0.25">
      <c r="B26" s="3" t="s">
        <v>45</v>
      </c>
      <c r="C26">
        <v>6085.23</v>
      </c>
      <c r="D26">
        <v>6099.15</v>
      </c>
      <c r="E26">
        <v>6109.51</v>
      </c>
      <c r="F26">
        <v>6120.19</v>
      </c>
      <c r="G26">
        <v>6140.11</v>
      </c>
      <c r="H26">
        <v>6151.29</v>
      </c>
      <c r="I26">
        <v>6162.89</v>
      </c>
      <c r="J26">
        <v>6174.91</v>
      </c>
      <c r="K26">
        <v>6187.25</v>
      </c>
      <c r="L26">
        <v>6200.01</v>
      </c>
      <c r="M26">
        <v>5983.99</v>
      </c>
      <c r="N26">
        <v>6211.02</v>
      </c>
      <c r="O26" t="s">
        <v>42</v>
      </c>
      <c r="P26" t="s">
        <v>6</v>
      </c>
      <c r="Q26">
        <v>0.82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999D-BC78-4CEE-82B4-1277196CD128}">
  <dimension ref="B2:G12"/>
  <sheetViews>
    <sheetView workbookViewId="0">
      <selection activeCell="J17" sqref="J17"/>
    </sheetView>
  </sheetViews>
  <sheetFormatPr defaultRowHeight="15" x14ac:dyDescent="0.25"/>
  <cols>
    <col min="2" max="2" width="9.7109375" bestFit="1" customWidth="1"/>
    <col min="4" max="6" width="12" bestFit="1" customWidth="1"/>
    <col min="7" max="7" width="14" customWidth="1"/>
  </cols>
  <sheetData>
    <row r="2" spans="2:7" x14ac:dyDescent="0.25">
      <c r="B2" t="s">
        <v>63</v>
      </c>
      <c r="C2" t="s">
        <v>64</v>
      </c>
      <c r="D2" t="s">
        <v>65</v>
      </c>
      <c r="E2" t="s">
        <v>25</v>
      </c>
      <c r="F2" t="s">
        <v>66</v>
      </c>
      <c r="G2" t="s">
        <v>67</v>
      </c>
    </row>
    <row r="3" spans="2:7" x14ac:dyDescent="0.25">
      <c r="B3" s="5">
        <v>45688</v>
      </c>
      <c r="C3">
        <v>6096.7900390625</v>
      </c>
      <c r="D3">
        <v>6040.52978515625</v>
      </c>
      <c r="E3">
        <v>6120.91015625</v>
      </c>
      <c r="F3">
        <v>6030.93017578125</v>
      </c>
      <c r="G3">
        <v>4843770000</v>
      </c>
    </row>
    <row r="4" spans="2:7" x14ac:dyDescent="0.25">
      <c r="B4" s="5">
        <v>45691</v>
      </c>
      <c r="C4">
        <v>5969.64990234375</v>
      </c>
      <c r="D4">
        <v>5994.56982421875</v>
      </c>
      <c r="E4">
        <v>6022.1298828125</v>
      </c>
      <c r="F4">
        <v>5923.93017578125</v>
      </c>
      <c r="G4">
        <v>4797210000</v>
      </c>
    </row>
    <row r="5" spans="2:7" x14ac:dyDescent="0.25">
      <c r="B5" s="5">
        <v>45692</v>
      </c>
      <c r="C5">
        <v>5998.14013671875</v>
      </c>
      <c r="D5">
        <v>6037.8798828125</v>
      </c>
      <c r="E5">
        <v>6042.47998046875</v>
      </c>
      <c r="F5">
        <v>5990.8701171875</v>
      </c>
      <c r="G5">
        <v>4410160000</v>
      </c>
    </row>
    <row r="6" spans="2:7" x14ac:dyDescent="0.25">
      <c r="B6" s="5">
        <v>45693</v>
      </c>
      <c r="C6">
        <v>6020.4501953125</v>
      </c>
      <c r="D6">
        <v>6061.47998046875</v>
      </c>
      <c r="E6">
        <v>6062.85986328125</v>
      </c>
      <c r="F6">
        <v>6007.06005859375</v>
      </c>
      <c r="G6">
        <v>4756250000</v>
      </c>
    </row>
    <row r="7" spans="2:7" x14ac:dyDescent="0.25">
      <c r="B7" s="5">
        <v>45694</v>
      </c>
      <c r="C7">
        <v>6072.22021484375</v>
      </c>
      <c r="D7">
        <v>6083.56982421875</v>
      </c>
      <c r="E7">
        <v>6084.02978515625</v>
      </c>
      <c r="F7">
        <v>6046.830078125</v>
      </c>
      <c r="G7">
        <v>4847120000</v>
      </c>
    </row>
    <row r="8" spans="2:7" x14ac:dyDescent="0.25">
      <c r="B8" s="5">
        <v>45695</v>
      </c>
      <c r="C8">
        <v>6083.1298828125</v>
      </c>
      <c r="D8">
        <v>6025.990234375</v>
      </c>
      <c r="E8">
        <v>6101.27978515625</v>
      </c>
      <c r="F8">
        <v>6019.9599609375</v>
      </c>
      <c r="G8">
        <v>4766900000</v>
      </c>
    </row>
    <row r="9" spans="2:7" x14ac:dyDescent="0.25">
      <c r="B9" s="5">
        <v>45698</v>
      </c>
      <c r="C9">
        <v>6046.39990234375</v>
      </c>
      <c r="D9">
        <v>6066.43994140625</v>
      </c>
      <c r="E9">
        <v>6073.3798828125</v>
      </c>
      <c r="F9">
        <v>6044.83984375</v>
      </c>
      <c r="G9">
        <v>4458760000</v>
      </c>
    </row>
    <row r="10" spans="2:7" x14ac:dyDescent="0.25">
      <c r="B10" s="5">
        <v>45699</v>
      </c>
      <c r="C10">
        <v>6049.31982421875</v>
      </c>
      <c r="D10">
        <v>6068.5</v>
      </c>
      <c r="E10">
        <v>6076.27978515625</v>
      </c>
      <c r="F10">
        <v>6042.33984375</v>
      </c>
      <c r="G10">
        <v>4324880000</v>
      </c>
    </row>
    <row r="11" spans="2:7" x14ac:dyDescent="0.25">
      <c r="B11" s="5">
        <v>45700</v>
      </c>
      <c r="C11">
        <v>6025.080078125</v>
      </c>
      <c r="D11">
        <v>6051.97021484375</v>
      </c>
      <c r="E11">
        <v>6063</v>
      </c>
      <c r="F11">
        <v>6003</v>
      </c>
      <c r="G11">
        <v>4627960000</v>
      </c>
    </row>
    <row r="12" spans="2:7" x14ac:dyDescent="0.25">
      <c r="B12" s="5">
        <v>45701</v>
      </c>
      <c r="C12">
        <v>6060.58984375</v>
      </c>
      <c r="D12">
        <v>6115.06982421875</v>
      </c>
      <c r="E12">
        <v>6116.91015625</v>
      </c>
      <c r="F12">
        <v>6050.9501953125</v>
      </c>
      <c r="G12">
        <v>4763800000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3D70-EA43-480D-88C1-EAEF81EADB7A}">
  <dimension ref="B2:AD44"/>
  <sheetViews>
    <sheetView topLeftCell="A73" zoomScale="115" zoomScaleNormal="115" workbookViewId="0">
      <selection activeCell="N52" sqref="N52:N67"/>
    </sheetView>
  </sheetViews>
  <sheetFormatPr defaultRowHeight="15" x14ac:dyDescent="0.25"/>
  <cols>
    <col min="2" max="2" width="11.42578125" bestFit="1" customWidth="1"/>
    <col min="3" max="7" width="10.5703125" bestFit="1" customWidth="1"/>
    <col min="8" max="9" width="10.5703125" hidden="1" customWidth="1"/>
    <col min="11" max="11" width="11" customWidth="1"/>
    <col min="12" max="12" width="13.5703125" customWidth="1"/>
    <col min="14" max="14" width="10.5703125" customWidth="1"/>
    <col min="15" max="15" width="11.5703125" bestFit="1" customWidth="1"/>
    <col min="16" max="16" width="11.7109375" bestFit="1" customWidth="1"/>
    <col min="17" max="17" width="9.42578125" bestFit="1" customWidth="1"/>
    <col min="21" max="22" width="9.28515625" bestFit="1" customWidth="1"/>
    <col min="23" max="23" width="11.140625" bestFit="1" customWidth="1"/>
    <col min="24" max="24" width="9.28515625" bestFit="1" customWidth="1"/>
  </cols>
  <sheetData>
    <row r="2" spans="2:19" x14ac:dyDescent="0.25">
      <c r="B2" s="18" t="s">
        <v>73</v>
      </c>
      <c r="C2" s="18"/>
      <c r="D2" s="18"/>
      <c r="E2" s="18"/>
      <c r="F2" s="18"/>
      <c r="G2" s="18"/>
      <c r="H2" s="18"/>
      <c r="I2" s="18"/>
      <c r="J2" s="18"/>
      <c r="K2" s="18"/>
      <c r="L2" s="18"/>
      <c r="N2" s="15" t="s">
        <v>74</v>
      </c>
      <c r="O2" s="16"/>
      <c r="P2" s="16"/>
      <c r="Q2" s="16"/>
      <c r="R2" s="17"/>
    </row>
    <row r="3" spans="2:19" x14ac:dyDescent="0.25">
      <c r="B3" s="9" t="s">
        <v>12</v>
      </c>
      <c r="C3" s="10" t="s">
        <v>7</v>
      </c>
      <c r="D3" s="10" t="s">
        <v>8</v>
      </c>
      <c r="E3" s="10" t="s">
        <v>9</v>
      </c>
      <c r="F3" s="10" t="s">
        <v>10</v>
      </c>
      <c r="G3" s="10" t="s">
        <v>11</v>
      </c>
      <c r="H3" s="10" t="s">
        <v>0</v>
      </c>
      <c r="I3" s="10" t="s">
        <v>1</v>
      </c>
      <c r="J3" s="10" t="s">
        <v>2</v>
      </c>
      <c r="K3" s="10" t="s">
        <v>3</v>
      </c>
      <c r="L3" s="10" t="s">
        <v>4</v>
      </c>
      <c r="N3" s="9" t="s">
        <v>12</v>
      </c>
      <c r="O3" s="13" t="s">
        <v>70</v>
      </c>
      <c r="P3" s="13" t="s">
        <v>71</v>
      </c>
      <c r="Q3" s="13" t="s">
        <v>72</v>
      </c>
      <c r="R3" s="11" t="s">
        <v>79</v>
      </c>
    </row>
    <row r="4" spans="2:19" x14ac:dyDescent="0.25">
      <c r="B4" s="9" t="s">
        <v>13</v>
      </c>
      <c r="C4" s="11">
        <v>6134.19</v>
      </c>
      <c r="D4" s="11">
        <v>6161.41</v>
      </c>
      <c r="E4" s="11">
        <v>6188.63</v>
      </c>
      <c r="F4" s="11">
        <v>6215.85</v>
      </c>
      <c r="G4" s="11">
        <v>6243.07</v>
      </c>
      <c r="H4" s="11">
        <v>6141.11</v>
      </c>
      <c r="I4" s="11">
        <v>6263.93</v>
      </c>
      <c r="J4" s="11" t="s">
        <v>5</v>
      </c>
      <c r="K4" s="11" t="s">
        <v>6</v>
      </c>
      <c r="L4" s="11">
        <v>0.73</v>
      </c>
      <c r="M4" s="6"/>
      <c r="N4" s="12" t="s">
        <v>13</v>
      </c>
      <c r="O4" s="12">
        <f>AVERAGE(ABS(C4-$C$17),ABS(D4-$D$17),ABS(E4-$E$17),ABS(F4-$F$17),ABS(G4-$G$17))</f>
        <v>145.02414062499992</v>
      </c>
      <c r="P4" s="12">
        <f>AVERAGE((C4-$C$17)^2,(D4-$D$17)^2,(E4-$E$17)^2,(F4-$F$17)^2,(G4-$G$17)^2)</f>
        <v>21720.777387133778</v>
      </c>
      <c r="Q4" s="12">
        <f>SQRT(P4)</f>
        <v>147.37970480067389</v>
      </c>
      <c r="R4" s="14">
        <v>0.75</v>
      </c>
      <c r="S4" s="6"/>
    </row>
    <row r="5" spans="2:19" x14ac:dyDescent="0.25">
      <c r="B5" s="9" t="s">
        <v>15</v>
      </c>
      <c r="C5" s="12">
        <v>6134.19</v>
      </c>
      <c r="D5" s="12">
        <v>6161.31</v>
      </c>
      <c r="E5" s="12">
        <v>6188.43</v>
      </c>
      <c r="F5" s="12">
        <v>6205.55</v>
      </c>
      <c r="G5" s="12">
        <v>6222.67</v>
      </c>
      <c r="H5" s="12">
        <v>6141.11</v>
      </c>
      <c r="I5" s="12">
        <v>6213.33</v>
      </c>
      <c r="J5" s="12" t="s">
        <v>5</v>
      </c>
      <c r="K5" s="12" t="s">
        <v>6</v>
      </c>
      <c r="L5" s="12">
        <v>0.73</v>
      </c>
      <c r="M5" s="6"/>
      <c r="N5" s="12" t="s">
        <v>15</v>
      </c>
      <c r="O5" s="12">
        <f>AVERAGE(ABS(C5-$C$17),ABS(D5-$D$17),ABS(E5-$E$17),ABS(F5-$F$17),ABS(G5-$G$17))</f>
        <v>138.8241406250001</v>
      </c>
      <c r="P5" s="12">
        <f>AVERAGE((C5-$C$17)^2,(D5-$D$17)^2,(E5-$E$17)^2,(F5-$F$17)^2,(G5-$G$17)^2)</f>
        <v>19868.97785588383</v>
      </c>
      <c r="Q5" s="12">
        <f t="shared" ref="Q5:Q16" si="0">SQRT(P5)</f>
        <v>140.9573618364214</v>
      </c>
      <c r="R5" s="14">
        <v>0.75</v>
      </c>
      <c r="S5" s="6"/>
    </row>
    <row r="6" spans="2:19" x14ac:dyDescent="0.25">
      <c r="B6" s="9" t="s">
        <v>22</v>
      </c>
      <c r="C6" s="12">
        <v>6134.19</v>
      </c>
      <c r="D6" s="12">
        <v>6161.41</v>
      </c>
      <c r="E6" s="12">
        <v>6188.63</v>
      </c>
      <c r="F6" s="12">
        <v>6215.85</v>
      </c>
      <c r="G6" s="12">
        <v>6243.07</v>
      </c>
      <c r="H6" s="12">
        <v>6141.11</v>
      </c>
      <c r="I6" s="12">
        <v>6263.93</v>
      </c>
      <c r="J6" s="12" t="s">
        <v>5</v>
      </c>
      <c r="K6" s="12" t="s">
        <v>6</v>
      </c>
      <c r="L6" s="12">
        <v>0.73</v>
      </c>
      <c r="M6" s="6"/>
      <c r="N6" s="12" t="s">
        <v>22</v>
      </c>
      <c r="O6" s="12">
        <f>AVERAGE(ABS(C6-$C$17),ABS(D6-$D$17),ABS(E6-$E$17),ABS(F6-$F$17),ABS(G6-$G$17))</f>
        <v>145.02414062499992</v>
      </c>
      <c r="P6" s="12">
        <f>AVERAGE((C6-$C$17)^2,(D6-$D$17)^2,(E6-$E$17)^2,(F6-$F$17)^2,(G6-$G$17)^2)</f>
        <v>21720.777387133778</v>
      </c>
      <c r="Q6" s="12">
        <f t="shared" si="0"/>
        <v>147.37970480067389</v>
      </c>
      <c r="R6" s="14">
        <v>0.75</v>
      </c>
      <c r="S6" s="6"/>
    </row>
    <row r="7" spans="2:19" x14ac:dyDescent="0.25">
      <c r="B7" s="9" t="s">
        <v>26</v>
      </c>
      <c r="C7" s="12">
        <v>6134.19</v>
      </c>
      <c r="D7" s="12">
        <v>6161.31</v>
      </c>
      <c r="E7" s="12">
        <v>6188.43</v>
      </c>
      <c r="F7" s="12">
        <v>6205.55</v>
      </c>
      <c r="G7" s="12">
        <v>6222.67</v>
      </c>
      <c r="H7" s="12">
        <v>6141.11</v>
      </c>
      <c r="I7" s="12">
        <v>6213.33</v>
      </c>
      <c r="J7" s="12" t="s">
        <v>5</v>
      </c>
      <c r="K7" s="12" t="s">
        <v>6</v>
      </c>
      <c r="L7" s="12">
        <v>0.73</v>
      </c>
      <c r="M7" s="6"/>
      <c r="N7" s="12" t="s">
        <v>26</v>
      </c>
      <c r="O7" s="12">
        <f>AVERAGE(ABS(C7-$C$17),ABS(D7-$D$17),ABS(E7-$E$17),ABS(F7-$F$17),ABS(G7-$G$17))</f>
        <v>138.8241406250001</v>
      </c>
      <c r="P7" s="12">
        <f>AVERAGE((C7-$C$17)^2,(D7-$D$17)^2,(E7-$E$17)^2,(F7-$F$17)^2,(G7-$G$17)^2)</f>
        <v>19868.97785588383</v>
      </c>
      <c r="Q7" s="12">
        <f t="shared" si="0"/>
        <v>140.9573618364214</v>
      </c>
      <c r="R7" s="14">
        <v>0.75</v>
      </c>
      <c r="S7" s="6"/>
    </row>
    <row r="8" spans="2:19" x14ac:dyDescent="0.25">
      <c r="B8" s="9" t="s">
        <v>28</v>
      </c>
      <c r="C8" s="12">
        <v>6057.5110000000004</v>
      </c>
      <c r="D8" s="12">
        <v>6091.1109999999999</v>
      </c>
      <c r="E8" s="12">
        <v>6104.7179999999998</v>
      </c>
      <c r="F8" s="12"/>
      <c r="G8" s="12"/>
      <c r="H8" s="12">
        <v>6049.9989999999998</v>
      </c>
      <c r="I8" s="12">
        <v>6118.2219999999998</v>
      </c>
      <c r="J8" s="12" t="s">
        <v>24</v>
      </c>
      <c r="K8" s="12" t="s">
        <v>25</v>
      </c>
      <c r="L8" s="12">
        <v>0.75</v>
      </c>
      <c r="M8" s="6"/>
      <c r="N8" s="12" t="s">
        <v>28</v>
      </c>
      <c r="O8" s="12">
        <f>AVERAGE(ABS(C8-$C$17),ABS(D8-$D$17),ABS(E8-$E$17))</f>
        <v>60.120169270833379</v>
      </c>
      <c r="P8" s="12">
        <f>AVERAGE((C8-$C$17)^2,(D8-$D$17)^2,(E8-$E$17)^2)</f>
        <v>4691.9647293219205</v>
      </c>
      <c r="Q8" s="12">
        <f t="shared" si="0"/>
        <v>68.497917700627369</v>
      </c>
      <c r="R8" s="14">
        <v>0.5</v>
      </c>
      <c r="S8" s="6"/>
    </row>
    <row r="9" spans="2:19" x14ac:dyDescent="0.25">
      <c r="B9" s="9" t="s">
        <v>30</v>
      </c>
      <c r="C9" s="12">
        <v>6083.1109999999999</v>
      </c>
      <c r="D9" s="12">
        <v>6094.4189999999999</v>
      </c>
      <c r="E9" s="12">
        <v>6105.7269999999999</v>
      </c>
      <c r="F9" s="12">
        <v>6117.0349999999999</v>
      </c>
      <c r="G9" s="12">
        <v>6128.3429999999998</v>
      </c>
      <c r="H9" s="12">
        <v>6069.8190000000004</v>
      </c>
      <c r="I9" s="12">
        <v>6146.8670000000002</v>
      </c>
      <c r="J9" s="12" t="s">
        <v>5</v>
      </c>
      <c r="K9" s="12" t="s">
        <v>6</v>
      </c>
      <c r="L9" s="12">
        <v>0.57999999999999996</v>
      </c>
      <c r="M9" s="6"/>
      <c r="N9" s="12" t="s">
        <v>30</v>
      </c>
      <c r="O9" s="12">
        <f>AVERAGE(ABS(C9-$C$17),ABS(D9-$D$17),ABS(E9-$E$17),ABS(F9-$F$17),ABS(G9-$G$17))</f>
        <v>62.12114062499986</v>
      </c>
      <c r="P9" s="12">
        <f>AVERAGE((C9-$C$17)^2,(D9-$D$17)^2,(E9-$E$17)^2,(F9-$F$17)^2,(G9-$G$17)^2)</f>
        <v>4295.4493074150214</v>
      </c>
      <c r="Q9" s="12">
        <f t="shared" si="0"/>
        <v>65.53967735208208</v>
      </c>
      <c r="R9" s="14">
        <v>0.75</v>
      </c>
      <c r="S9" s="6"/>
    </row>
    <row r="10" spans="2:19" x14ac:dyDescent="0.25">
      <c r="B10" s="9" t="s">
        <v>32</v>
      </c>
      <c r="C10" s="12">
        <v>6057.5110000000004</v>
      </c>
      <c r="D10" s="12">
        <v>6091.1109999999999</v>
      </c>
      <c r="E10" s="12">
        <v>6104.7179999999998</v>
      </c>
      <c r="F10" s="12"/>
      <c r="G10" s="12"/>
      <c r="H10" s="12">
        <v>6049.9989999999998</v>
      </c>
      <c r="I10" s="12">
        <v>6118.2219999999998</v>
      </c>
      <c r="J10" s="12" t="s">
        <v>24</v>
      </c>
      <c r="K10" s="12" t="s">
        <v>25</v>
      </c>
      <c r="L10" s="12">
        <v>0.75</v>
      </c>
      <c r="M10" s="6"/>
      <c r="N10" s="12" t="s">
        <v>32</v>
      </c>
      <c r="O10" s="12">
        <f>AVERAGE(ABS(C10-$C$17),ABS(D10-$D$17),ABS(E10-$E$17))</f>
        <v>60.120169270833379</v>
      </c>
      <c r="P10" s="12">
        <f>AVERAGE((C10-$C$17)^2,(D10-$D$17)^2,(E10-$E$17)^2)</f>
        <v>4691.9647293219205</v>
      </c>
      <c r="Q10" s="12">
        <f t="shared" si="0"/>
        <v>68.497917700627369</v>
      </c>
      <c r="R10" s="14">
        <v>0.5</v>
      </c>
      <c r="S10" s="6"/>
    </row>
    <row r="11" spans="2:19" x14ac:dyDescent="0.25">
      <c r="B11" s="9" t="s">
        <v>34</v>
      </c>
      <c r="C11" s="12">
        <v>6083.1109999999999</v>
      </c>
      <c r="D11" s="12">
        <v>6094.4189999999999</v>
      </c>
      <c r="E11" s="12">
        <v>6105.7269999999999</v>
      </c>
      <c r="F11" s="12">
        <v>6117.0349999999999</v>
      </c>
      <c r="G11" s="12">
        <v>6128.3429999999998</v>
      </c>
      <c r="H11" s="12">
        <v>6069.8190000000004</v>
      </c>
      <c r="I11" s="12">
        <v>6146.8670000000002</v>
      </c>
      <c r="J11" s="12" t="s">
        <v>5</v>
      </c>
      <c r="K11" s="12" t="s">
        <v>6</v>
      </c>
      <c r="L11" s="12">
        <v>0.57999999999999996</v>
      </c>
      <c r="M11" s="6"/>
      <c r="N11" s="12" t="s">
        <v>34</v>
      </c>
      <c r="O11" s="12">
        <f t="shared" ref="O11:O16" si="1">AVERAGE(ABS(C11-$C$17),ABS(D11-$D$17),ABS(E11-$E$17),ABS(F11-$F$17),ABS(G11-$G$17))</f>
        <v>62.12114062499986</v>
      </c>
      <c r="P11" s="12">
        <f t="shared" ref="P11:P16" si="2">AVERAGE((C11-$C$17)^2,(D11-$D$17)^2,(E11-$E$17)^2,(F11-$F$17)^2,(G11-$G$17)^2)</f>
        <v>4295.4493074150214</v>
      </c>
      <c r="Q11" s="12">
        <f t="shared" si="0"/>
        <v>65.53967735208208</v>
      </c>
      <c r="R11" s="14">
        <v>0.75</v>
      </c>
      <c r="S11" s="6"/>
    </row>
    <row r="12" spans="2:19" x14ac:dyDescent="0.25">
      <c r="B12" s="9" t="s">
        <v>38</v>
      </c>
      <c r="C12" s="12">
        <v>5968.23</v>
      </c>
      <c r="D12" s="12">
        <v>5989.56</v>
      </c>
      <c r="E12" s="12">
        <v>6009.89</v>
      </c>
      <c r="F12" s="12">
        <v>6030.22</v>
      </c>
      <c r="G12" s="12">
        <v>6050.55</v>
      </c>
      <c r="H12" s="12">
        <v>5843.45</v>
      </c>
      <c r="I12" s="12">
        <v>6157.65</v>
      </c>
      <c r="J12" s="12" t="s">
        <v>36</v>
      </c>
      <c r="K12" s="12" t="s">
        <v>37</v>
      </c>
      <c r="L12" s="12">
        <v>0.85</v>
      </c>
      <c r="M12" s="6"/>
      <c r="N12" s="12" t="s">
        <v>38</v>
      </c>
      <c r="O12" s="12">
        <f t="shared" si="1"/>
        <v>33.915859374999854</v>
      </c>
      <c r="P12" s="12">
        <f t="shared" si="2"/>
        <v>1620.6571965087917</v>
      </c>
      <c r="Q12" s="12">
        <f t="shared" si="0"/>
        <v>40.257386856436568</v>
      </c>
      <c r="R12" s="14">
        <v>0.75</v>
      </c>
      <c r="S12" s="6"/>
    </row>
    <row r="13" spans="2:19" x14ac:dyDescent="0.25">
      <c r="B13" s="9" t="s">
        <v>41</v>
      </c>
      <c r="C13" s="12">
        <v>6089.15</v>
      </c>
      <c r="D13" s="12">
        <v>6097.23</v>
      </c>
      <c r="E13" s="12">
        <v>6105.31</v>
      </c>
      <c r="F13" s="12">
        <v>6113.39</v>
      </c>
      <c r="G13" s="12">
        <v>6121.47</v>
      </c>
      <c r="H13" s="12">
        <v>6079.11</v>
      </c>
      <c r="I13" s="12">
        <v>6123.83</v>
      </c>
      <c r="J13" s="12" t="s">
        <v>40</v>
      </c>
      <c r="K13" s="12" t="s">
        <v>6</v>
      </c>
      <c r="L13" s="12">
        <v>0.75</v>
      </c>
      <c r="M13" s="6"/>
      <c r="N13" s="12" t="s">
        <v>41</v>
      </c>
      <c r="O13" s="12">
        <f t="shared" si="1"/>
        <v>61.704140625000036</v>
      </c>
      <c r="P13" s="12">
        <f t="shared" si="2"/>
        <v>4316.1862277587861</v>
      </c>
      <c r="Q13" s="12">
        <f t="shared" si="0"/>
        <v>65.69768814622617</v>
      </c>
      <c r="R13" s="14">
        <v>0.75</v>
      </c>
      <c r="S13" s="6"/>
    </row>
    <row r="14" spans="2:19" x14ac:dyDescent="0.25">
      <c r="B14" s="9" t="s">
        <v>48</v>
      </c>
      <c r="C14" s="12">
        <v>5968.23</v>
      </c>
      <c r="D14" s="12">
        <v>5989.56</v>
      </c>
      <c r="E14" s="12">
        <v>6009.89</v>
      </c>
      <c r="F14" s="12">
        <v>6030.22</v>
      </c>
      <c r="G14" s="12">
        <v>6050.55</v>
      </c>
      <c r="H14" s="12">
        <v>5843.45</v>
      </c>
      <c r="I14" s="12">
        <v>6157.65</v>
      </c>
      <c r="J14" s="12" t="s">
        <v>36</v>
      </c>
      <c r="K14" s="12" t="s">
        <v>37</v>
      </c>
      <c r="L14" s="12">
        <v>0.85</v>
      </c>
      <c r="M14" s="6"/>
      <c r="N14" s="12" t="s">
        <v>48</v>
      </c>
      <c r="O14" s="12">
        <f t="shared" si="1"/>
        <v>33.915859374999854</v>
      </c>
      <c r="P14" s="12">
        <f t="shared" si="2"/>
        <v>1620.6571965087917</v>
      </c>
      <c r="Q14" s="12">
        <f t="shared" si="0"/>
        <v>40.257386856436568</v>
      </c>
      <c r="R14" s="14">
        <v>0.75</v>
      </c>
      <c r="S14" s="6"/>
    </row>
    <row r="15" spans="2:19" x14ac:dyDescent="0.25">
      <c r="B15" s="9" t="s">
        <v>46</v>
      </c>
      <c r="C15" s="12">
        <v>6089.15</v>
      </c>
      <c r="D15" s="12">
        <v>6097.23</v>
      </c>
      <c r="E15" s="12">
        <v>6105.31</v>
      </c>
      <c r="F15" s="12">
        <v>6113.39</v>
      </c>
      <c r="G15" s="12">
        <v>6121.47</v>
      </c>
      <c r="H15" s="12">
        <v>6079.11</v>
      </c>
      <c r="I15" s="12">
        <v>6123.83</v>
      </c>
      <c r="J15" s="12" t="s">
        <v>44</v>
      </c>
      <c r="K15" s="12" t="s">
        <v>6</v>
      </c>
      <c r="L15" s="12">
        <v>0.75</v>
      </c>
      <c r="M15" s="6"/>
      <c r="N15" s="12" t="s">
        <v>46</v>
      </c>
      <c r="O15" s="12">
        <f t="shared" si="1"/>
        <v>61.704140625000036</v>
      </c>
      <c r="P15" s="12">
        <f t="shared" si="2"/>
        <v>4316.1862277587861</v>
      </c>
      <c r="Q15" s="12">
        <f t="shared" si="0"/>
        <v>65.69768814622617</v>
      </c>
      <c r="R15" s="14">
        <v>0.75</v>
      </c>
      <c r="S15" s="6"/>
    </row>
    <row r="16" spans="2:19" x14ac:dyDescent="0.25">
      <c r="B16" s="9" t="s">
        <v>69</v>
      </c>
      <c r="C16" s="12">
        <f>AVERAGE(C4:C15)</f>
        <v>6077.730333333333</v>
      </c>
      <c r="D16" s="12">
        <f t="shared" ref="D16:L16" si="3">AVERAGE(D4:D15)</f>
        <v>6099.1733333333323</v>
      </c>
      <c r="E16" s="12">
        <f t="shared" si="3"/>
        <v>6117.1175000000003</v>
      </c>
      <c r="F16" s="12">
        <f t="shared" si="3"/>
        <v>6136.4089999999997</v>
      </c>
      <c r="G16" s="12">
        <f t="shared" si="3"/>
        <v>6153.2206000000006</v>
      </c>
      <c r="H16" s="12">
        <f t="shared" si="3"/>
        <v>6054.0996666666661</v>
      </c>
      <c r="I16" s="12">
        <f t="shared" si="3"/>
        <v>6170.6381666666675</v>
      </c>
      <c r="J16" s="12"/>
      <c r="K16" s="12"/>
      <c r="L16" s="12">
        <f t="shared" si="3"/>
        <v>0.73166666666666658</v>
      </c>
      <c r="M16" s="6"/>
      <c r="N16" s="12" t="s">
        <v>69</v>
      </c>
      <c r="O16" s="12">
        <f t="shared" si="1"/>
        <v>73.124293958333141</v>
      </c>
      <c r="P16" s="12">
        <f t="shared" si="2"/>
        <v>5813.9926832314468</v>
      </c>
      <c r="Q16" s="12">
        <f t="shared" si="0"/>
        <v>76.249542183749838</v>
      </c>
      <c r="R16" s="14">
        <f>AVERAGE(R4:R15)</f>
        <v>0.70833333333333337</v>
      </c>
      <c r="S16" s="6"/>
    </row>
    <row r="17" spans="2:30" x14ac:dyDescent="0.25">
      <c r="B17" s="9" t="s">
        <v>68</v>
      </c>
      <c r="C17" s="12">
        <v>6040.52978515625</v>
      </c>
      <c r="D17" s="12">
        <v>5994.56982421875</v>
      </c>
      <c r="E17" s="12">
        <v>6037.8798828125</v>
      </c>
      <c r="F17" s="12">
        <v>6061.47998046875</v>
      </c>
      <c r="G17" s="12">
        <v>6083.56982421875</v>
      </c>
      <c r="H17" s="12"/>
      <c r="I17" s="12"/>
      <c r="J17" s="12" t="s">
        <v>5</v>
      </c>
      <c r="K17" s="12" t="s">
        <v>6</v>
      </c>
      <c r="L17" s="12"/>
      <c r="M17" s="6"/>
      <c r="N17" s="6"/>
      <c r="O17" s="6"/>
      <c r="P17" s="6"/>
      <c r="Q17" s="6"/>
      <c r="R17" s="6"/>
      <c r="S17" s="6"/>
    </row>
    <row r="18" spans="2:30" x14ac:dyDescent="0.25">
      <c r="B18" s="3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7"/>
      <c r="V18" s="7"/>
      <c r="W18" s="7"/>
      <c r="X18" s="7"/>
      <c r="Z18" s="6"/>
      <c r="AA18" s="7"/>
      <c r="AB18" s="7"/>
      <c r="AC18" s="7"/>
      <c r="AD18" s="7"/>
    </row>
    <row r="19" spans="2:30" x14ac:dyDescent="0.25">
      <c r="B19" s="3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7"/>
      <c r="V19" s="7"/>
      <c r="W19" s="7"/>
      <c r="X19" s="7"/>
      <c r="Z19" s="6"/>
      <c r="AA19" s="7"/>
      <c r="AB19" s="7"/>
      <c r="AC19" s="7"/>
      <c r="AD19" s="7"/>
    </row>
    <row r="20" spans="2:30" x14ac:dyDescent="0.25">
      <c r="B20" s="3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7"/>
      <c r="V20" s="7"/>
      <c r="W20" s="7"/>
      <c r="X20" s="7"/>
      <c r="Z20" s="6"/>
      <c r="AA20" s="7"/>
      <c r="AB20" s="7"/>
      <c r="AC20" s="7"/>
      <c r="AD20" s="7"/>
    </row>
    <row r="21" spans="2:30" x14ac:dyDescent="0.25">
      <c r="B21" t="s">
        <v>75</v>
      </c>
      <c r="J21" t="s">
        <v>77</v>
      </c>
      <c r="O21" s="6"/>
      <c r="P21" s="6" t="s">
        <v>78</v>
      </c>
      <c r="Q21" s="6"/>
      <c r="R21" s="6"/>
      <c r="S21" s="6"/>
      <c r="T21" s="6"/>
      <c r="U21" s="6"/>
      <c r="V21" s="6" t="s">
        <v>76</v>
      </c>
      <c r="W21" s="7" t="s">
        <v>79</v>
      </c>
      <c r="X21" s="7"/>
      <c r="Z21" s="6"/>
      <c r="AA21" s="7"/>
      <c r="AB21" s="7"/>
      <c r="AC21" s="7"/>
      <c r="AD21" s="7"/>
    </row>
    <row r="22" spans="2:30" x14ac:dyDescent="0.25">
      <c r="B22" s="3" t="s">
        <v>12</v>
      </c>
      <c r="C22" s="1" t="s">
        <v>8</v>
      </c>
      <c r="D22" s="1" t="s">
        <v>9</v>
      </c>
      <c r="E22" s="1" t="s">
        <v>10</v>
      </c>
      <c r="F22" s="1" t="s">
        <v>11</v>
      </c>
      <c r="G22" s="1"/>
      <c r="J22" s="3" t="s">
        <v>12</v>
      </c>
      <c r="K22" s="1" t="s">
        <v>8</v>
      </c>
      <c r="L22" s="1" t="s">
        <v>9</v>
      </c>
      <c r="M22" s="1" t="s">
        <v>10</v>
      </c>
      <c r="N22" s="1" t="s">
        <v>11</v>
      </c>
      <c r="O22" s="6"/>
      <c r="P22" s="3" t="s">
        <v>12</v>
      </c>
      <c r="Q22" s="1" t="s">
        <v>8</v>
      </c>
      <c r="R22" s="1" t="s">
        <v>9</v>
      </c>
      <c r="S22" s="1" t="s">
        <v>10</v>
      </c>
      <c r="T22" s="1" t="s">
        <v>11</v>
      </c>
      <c r="U22" s="6"/>
      <c r="V22" s="6"/>
      <c r="W22" s="7"/>
      <c r="X22" s="7"/>
      <c r="Z22" s="6"/>
      <c r="AA22" s="7"/>
      <c r="AB22" s="7"/>
      <c r="AC22" s="7"/>
      <c r="AD22" s="7"/>
    </row>
    <row r="23" spans="2:30" x14ac:dyDescent="0.25">
      <c r="B23" s="6" t="s">
        <v>13</v>
      </c>
      <c r="C23" s="7">
        <f t="shared" ref="C23:F26" si="4">D4-C4</f>
        <v>27.220000000000255</v>
      </c>
      <c r="D23" s="7">
        <f t="shared" si="4"/>
        <v>27.220000000000255</v>
      </c>
      <c r="E23" s="7">
        <f t="shared" si="4"/>
        <v>27.220000000000255</v>
      </c>
      <c r="F23" s="7">
        <f t="shared" si="4"/>
        <v>27.219999999999345</v>
      </c>
      <c r="G23" s="2"/>
      <c r="J23" s="6" t="s">
        <v>13</v>
      </c>
      <c r="K23" s="7">
        <f t="shared" ref="K23:N26" si="5">SIGN(D4-C4)</f>
        <v>1</v>
      </c>
      <c r="L23" s="7">
        <f t="shared" si="5"/>
        <v>1</v>
      </c>
      <c r="M23" s="7">
        <f t="shared" si="5"/>
        <v>1</v>
      </c>
      <c r="N23" s="7">
        <f t="shared" si="5"/>
        <v>1</v>
      </c>
      <c r="O23" s="6"/>
      <c r="P23" s="6" t="s">
        <v>13</v>
      </c>
      <c r="Q23" s="6">
        <f t="shared" ref="Q23:T26" si="6">IF(K23=K$36,1,0)</f>
        <v>0</v>
      </c>
      <c r="R23" s="6">
        <f t="shared" si="6"/>
        <v>1</v>
      </c>
      <c r="S23" s="6">
        <f t="shared" si="6"/>
        <v>1</v>
      </c>
      <c r="T23" s="6">
        <f t="shared" si="6"/>
        <v>1</v>
      </c>
      <c r="U23" s="6"/>
      <c r="V23" s="6">
        <f>AVERAGE(Q23:T23)</f>
        <v>0.75</v>
      </c>
      <c r="W23" s="8">
        <f>V23</f>
        <v>0.75</v>
      </c>
      <c r="X23" s="7"/>
      <c r="Z23" s="6"/>
      <c r="AA23" s="7"/>
      <c r="AB23" s="7"/>
      <c r="AC23" s="7"/>
      <c r="AD23" s="7"/>
    </row>
    <row r="24" spans="2:30" x14ac:dyDescent="0.25">
      <c r="B24" s="6" t="s">
        <v>15</v>
      </c>
      <c r="C24" s="7">
        <f t="shared" si="4"/>
        <v>27.1200000000008</v>
      </c>
      <c r="D24" s="7">
        <f t="shared" si="4"/>
        <v>27.119999999999891</v>
      </c>
      <c r="E24" s="7">
        <f t="shared" si="4"/>
        <v>17.119999999999891</v>
      </c>
      <c r="F24" s="7">
        <f t="shared" si="4"/>
        <v>17.119999999999891</v>
      </c>
      <c r="G24" s="2"/>
      <c r="J24" s="6" t="s">
        <v>15</v>
      </c>
      <c r="K24" s="7">
        <f t="shared" si="5"/>
        <v>1</v>
      </c>
      <c r="L24" s="7">
        <f t="shared" si="5"/>
        <v>1</v>
      </c>
      <c r="M24" s="7">
        <f t="shared" si="5"/>
        <v>1</v>
      </c>
      <c r="N24" s="7">
        <f t="shared" si="5"/>
        <v>1</v>
      </c>
      <c r="O24" s="6"/>
      <c r="P24" s="6" t="s">
        <v>15</v>
      </c>
      <c r="Q24" s="6">
        <f t="shared" si="6"/>
        <v>0</v>
      </c>
      <c r="R24" s="6">
        <f t="shared" si="6"/>
        <v>1</v>
      </c>
      <c r="S24" s="6">
        <f t="shared" si="6"/>
        <v>1</v>
      </c>
      <c r="T24" s="6">
        <f t="shared" si="6"/>
        <v>1</v>
      </c>
      <c r="U24" s="6"/>
      <c r="V24" s="6">
        <f t="shared" ref="V24:V34" si="7">AVERAGE(Q24:T24)</f>
        <v>0.75</v>
      </c>
      <c r="W24" s="8">
        <f t="shared" ref="W24:W34" si="8">V24</f>
        <v>0.75</v>
      </c>
      <c r="X24" s="7"/>
      <c r="Z24" s="6"/>
      <c r="AA24" s="7"/>
      <c r="AB24" s="7"/>
      <c r="AC24" s="7"/>
      <c r="AD24" s="7"/>
    </row>
    <row r="25" spans="2:30" x14ac:dyDescent="0.25">
      <c r="B25" s="6" t="s">
        <v>22</v>
      </c>
      <c r="C25" s="7">
        <f t="shared" si="4"/>
        <v>27.220000000000255</v>
      </c>
      <c r="D25" s="7">
        <f t="shared" si="4"/>
        <v>27.220000000000255</v>
      </c>
      <c r="E25" s="7">
        <f t="shared" si="4"/>
        <v>27.220000000000255</v>
      </c>
      <c r="F25" s="7">
        <f t="shared" si="4"/>
        <v>27.219999999999345</v>
      </c>
      <c r="G25" s="2"/>
      <c r="J25" s="6" t="s">
        <v>22</v>
      </c>
      <c r="K25" s="7">
        <f t="shared" si="5"/>
        <v>1</v>
      </c>
      <c r="L25" s="7">
        <f t="shared" si="5"/>
        <v>1</v>
      </c>
      <c r="M25" s="7">
        <f t="shared" si="5"/>
        <v>1</v>
      </c>
      <c r="N25" s="7">
        <f t="shared" si="5"/>
        <v>1</v>
      </c>
      <c r="O25" s="6"/>
      <c r="P25" s="6" t="s">
        <v>22</v>
      </c>
      <c r="Q25" s="6">
        <f t="shared" si="6"/>
        <v>0</v>
      </c>
      <c r="R25" s="6">
        <f t="shared" si="6"/>
        <v>1</v>
      </c>
      <c r="S25" s="6">
        <f t="shared" si="6"/>
        <v>1</v>
      </c>
      <c r="T25" s="6">
        <f t="shared" si="6"/>
        <v>1</v>
      </c>
      <c r="U25" s="6"/>
      <c r="V25" s="6">
        <f t="shared" si="7"/>
        <v>0.75</v>
      </c>
      <c r="W25" s="8">
        <f t="shared" si="8"/>
        <v>0.75</v>
      </c>
      <c r="X25" s="7"/>
      <c r="Z25" s="6"/>
      <c r="AA25" s="7"/>
      <c r="AB25" s="7"/>
      <c r="AC25" s="7"/>
      <c r="AD25" s="7"/>
    </row>
    <row r="26" spans="2:30" x14ac:dyDescent="0.25">
      <c r="B26" s="6" t="s">
        <v>26</v>
      </c>
      <c r="C26" s="7">
        <f t="shared" si="4"/>
        <v>27.1200000000008</v>
      </c>
      <c r="D26" s="7">
        <f t="shared" si="4"/>
        <v>27.119999999999891</v>
      </c>
      <c r="E26" s="7">
        <f t="shared" si="4"/>
        <v>17.119999999999891</v>
      </c>
      <c r="F26" s="7">
        <f t="shared" si="4"/>
        <v>17.119999999999891</v>
      </c>
      <c r="G26" s="2"/>
      <c r="J26" s="6" t="s">
        <v>26</v>
      </c>
      <c r="K26" s="7">
        <f t="shared" si="5"/>
        <v>1</v>
      </c>
      <c r="L26" s="7">
        <f t="shared" si="5"/>
        <v>1</v>
      </c>
      <c r="M26" s="7">
        <f t="shared" si="5"/>
        <v>1</v>
      </c>
      <c r="N26" s="7">
        <f t="shared" si="5"/>
        <v>1</v>
      </c>
      <c r="O26" s="6"/>
      <c r="P26" s="6" t="s">
        <v>26</v>
      </c>
      <c r="Q26" s="6">
        <f t="shared" si="6"/>
        <v>0</v>
      </c>
      <c r="R26" s="6">
        <f t="shared" si="6"/>
        <v>1</v>
      </c>
      <c r="S26" s="6">
        <f t="shared" si="6"/>
        <v>1</v>
      </c>
      <c r="T26" s="6">
        <f t="shared" si="6"/>
        <v>1</v>
      </c>
      <c r="U26" s="6"/>
      <c r="V26" s="6">
        <f t="shared" si="7"/>
        <v>0.75</v>
      </c>
      <c r="W26" s="8">
        <f t="shared" si="8"/>
        <v>0.75</v>
      </c>
      <c r="X26" s="7"/>
      <c r="Z26" s="6"/>
      <c r="AA26" s="7"/>
      <c r="AB26" s="7"/>
      <c r="AC26" s="7"/>
      <c r="AD26" s="7"/>
    </row>
    <row r="27" spans="2:30" x14ac:dyDescent="0.25">
      <c r="B27" s="6" t="s">
        <v>28</v>
      </c>
      <c r="C27" s="7">
        <f t="shared" ref="C27:D34" si="9">D8-C8</f>
        <v>33.599999999999454</v>
      </c>
      <c r="D27" s="7">
        <f t="shared" si="9"/>
        <v>13.606999999999971</v>
      </c>
      <c r="E27" s="7"/>
      <c r="F27" s="7"/>
      <c r="G27" s="2"/>
      <c r="J27" s="6" t="s">
        <v>28</v>
      </c>
      <c r="K27" s="7">
        <f t="shared" ref="K27:L34" si="10">SIGN(D8-C8)</f>
        <v>1</v>
      </c>
      <c r="L27" s="7">
        <f t="shared" si="10"/>
        <v>1</v>
      </c>
      <c r="M27" s="7"/>
      <c r="N27" s="7"/>
      <c r="O27" s="6"/>
      <c r="P27" s="6" t="s">
        <v>28</v>
      </c>
      <c r="Q27" s="6">
        <f t="shared" ref="Q27:R34" si="11">IF(K27=K$36,1,0)</f>
        <v>0</v>
      </c>
      <c r="R27" s="6">
        <f t="shared" si="11"/>
        <v>1</v>
      </c>
      <c r="S27" s="6"/>
      <c r="T27" s="6"/>
      <c r="U27" s="6"/>
      <c r="V27" s="6">
        <f t="shared" si="7"/>
        <v>0.5</v>
      </c>
      <c r="W27" s="8">
        <f t="shared" si="8"/>
        <v>0.5</v>
      </c>
      <c r="X27" s="7"/>
      <c r="Z27" s="6"/>
      <c r="AA27" s="7"/>
      <c r="AB27" s="7"/>
      <c r="AC27" s="7"/>
      <c r="AD27" s="7"/>
    </row>
    <row r="28" spans="2:30" x14ac:dyDescent="0.25">
      <c r="B28" s="6" t="s">
        <v>30</v>
      </c>
      <c r="C28" s="7">
        <f t="shared" si="9"/>
        <v>11.307999999999993</v>
      </c>
      <c r="D28" s="7">
        <f t="shared" si="9"/>
        <v>11.307999999999993</v>
      </c>
      <c r="E28" s="7">
        <f>F9-E9</f>
        <v>11.307999999999993</v>
      </c>
      <c r="F28" s="7">
        <f>G9-F9</f>
        <v>11.307999999999993</v>
      </c>
      <c r="G28" s="2"/>
      <c r="J28" s="6" t="s">
        <v>30</v>
      </c>
      <c r="K28" s="7">
        <f t="shared" si="10"/>
        <v>1</v>
      </c>
      <c r="L28" s="7">
        <f t="shared" si="10"/>
        <v>1</v>
      </c>
      <c r="M28" s="7">
        <f>SIGN(F9-E9)</f>
        <v>1</v>
      </c>
      <c r="N28" s="7">
        <f>SIGN(G9-F9)</f>
        <v>1</v>
      </c>
      <c r="O28" s="6"/>
      <c r="P28" s="6" t="s">
        <v>30</v>
      </c>
      <c r="Q28" s="6">
        <f t="shared" si="11"/>
        <v>0</v>
      </c>
      <c r="R28" s="6">
        <f t="shared" si="11"/>
        <v>1</v>
      </c>
      <c r="S28" s="6">
        <f>IF(M28=M$36,1,0)</f>
        <v>1</v>
      </c>
      <c r="T28" s="6">
        <f>IF(N28=N$36,1,0)</f>
        <v>1</v>
      </c>
      <c r="U28" s="6"/>
      <c r="V28" s="6">
        <f t="shared" si="7"/>
        <v>0.75</v>
      </c>
      <c r="W28" s="8">
        <f t="shared" si="8"/>
        <v>0.75</v>
      </c>
      <c r="X28" s="7"/>
      <c r="Z28" s="6"/>
      <c r="AA28" s="7"/>
      <c r="AB28" s="7"/>
      <c r="AC28" s="7"/>
      <c r="AD28" s="7"/>
    </row>
    <row r="29" spans="2:30" x14ac:dyDescent="0.25">
      <c r="B29" s="6" t="s">
        <v>32</v>
      </c>
      <c r="C29" s="7">
        <f t="shared" si="9"/>
        <v>33.599999999999454</v>
      </c>
      <c r="D29" s="7">
        <f t="shared" si="9"/>
        <v>13.606999999999971</v>
      </c>
      <c r="E29" s="7"/>
      <c r="F29" s="7"/>
      <c r="G29" s="2"/>
      <c r="J29" s="6" t="s">
        <v>32</v>
      </c>
      <c r="K29" s="7">
        <f t="shared" si="10"/>
        <v>1</v>
      </c>
      <c r="L29" s="7">
        <f t="shared" si="10"/>
        <v>1</v>
      </c>
      <c r="M29" s="7"/>
      <c r="N29" s="7"/>
      <c r="O29" s="6"/>
      <c r="P29" s="6" t="s">
        <v>32</v>
      </c>
      <c r="Q29" s="6">
        <f t="shared" si="11"/>
        <v>0</v>
      </c>
      <c r="R29" s="6">
        <f t="shared" si="11"/>
        <v>1</v>
      </c>
      <c r="S29" s="6"/>
      <c r="T29" s="6"/>
      <c r="U29" s="6"/>
      <c r="V29" s="6">
        <f t="shared" si="7"/>
        <v>0.5</v>
      </c>
      <c r="W29" s="8">
        <f t="shared" si="8"/>
        <v>0.5</v>
      </c>
      <c r="X29" s="7"/>
      <c r="Z29" s="6"/>
      <c r="AA29" s="7"/>
      <c r="AB29" s="7"/>
      <c r="AC29" s="7"/>
      <c r="AD29" s="7"/>
    </row>
    <row r="30" spans="2:30" x14ac:dyDescent="0.25">
      <c r="B30" s="6" t="s">
        <v>34</v>
      </c>
      <c r="C30" s="7">
        <f t="shared" si="9"/>
        <v>11.307999999999993</v>
      </c>
      <c r="D30" s="7">
        <f t="shared" si="9"/>
        <v>11.307999999999993</v>
      </c>
      <c r="E30" s="7">
        <f t="shared" ref="E30:F34" si="12">F11-E11</f>
        <v>11.307999999999993</v>
      </c>
      <c r="F30" s="7">
        <f t="shared" si="12"/>
        <v>11.307999999999993</v>
      </c>
      <c r="G30" s="2"/>
      <c r="J30" s="6" t="s">
        <v>34</v>
      </c>
      <c r="K30" s="7">
        <f t="shared" si="10"/>
        <v>1</v>
      </c>
      <c r="L30" s="7">
        <f t="shared" si="10"/>
        <v>1</v>
      </c>
      <c r="M30" s="7">
        <f t="shared" ref="M30:N34" si="13">SIGN(F11-E11)</f>
        <v>1</v>
      </c>
      <c r="N30" s="7">
        <f t="shared" si="13"/>
        <v>1</v>
      </c>
      <c r="O30" s="6"/>
      <c r="P30" s="6" t="s">
        <v>34</v>
      </c>
      <c r="Q30" s="6">
        <f t="shared" si="11"/>
        <v>0</v>
      </c>
      <c r="R30" s="6">
        <f t="shared" si="11"/>
        <v>1</v>
      </c>
      <c r="S30" s="6">
        <f t="shared" ref="S30:T34" si="14">IF(M30=M$36,1,0)</f>
        <v>1</v>
      </c>
      <c r="T30" s="6">
        <f t="shared" si="14"/>
        <v>1</v>
      </c>
      <c r="U30" s="6"/>
      <c r="V30" s="6">
        <f t="shared" si="7"/>
        <v>0.75</v>
      </c>
      <c r="W30" s="8">
        <f t="shared" si="8"/>
        <v>0.75</v>
      </c>
      <c r="X30" s="7"/>
      <c r="Z30" s="6"/>
      <c r="AA30" s="7"/>
      <c r="AB30" s="7"/>
      <c r="AC30" s="7"/>
      <c r="AD30" s="7"/>
    </row>
    <row r="31" spans="2:30" x14ac:dyDescent="0.25">
      <c r="B31" s="6" t="s">
        <v>38</v>
      </c>
      <c r="C31" s="7">
        <f t="shared" si="9"/>
        <v>21.330000000000837</v>
      </c>
      <c r="D31" s="7">
        <f t="shared" si="9"/>
        <v>20.329999999999927</v>
      </c>
      <c r="E31" s="7">
        <f t="shared" si="12"/>
        <v>20.329999999999927</v>
      </c>
      <c r="F31" s="7">
        <f t="shared" si="12"/>
        <v>20.329999999999927</v>
      </c>
      <c r="G31" s="2"/>
      <c r="J31" s="6" t="s">
        <v>38</v>
      </c>
      <c r="K31" s="7">
        <f t="shared" si="10"/>
        <v>1</v>
      </c>
      <c r="L31" s="7">
        <f t="shared" si="10"/>
        <v>1</v>
      </c>
      <c r="M31" s="7">
        <f t="shared" si="13"/>
        <v>1</v>
      </c>
      <c r="N31" s="7">
        <f t="shared" si="13"/>
        <v>1</v>
      </c>
      <c r="O31" s="6"/>
      <c r="P31" s="6" t="s">
        <v>38</v>
      </c>
      <c r="Q31" s="6">
        <f t="shared" si="11"/>
        <v>0</v>
      </c>
      <c r="R31" s="6">
        <f t="shared" si="11"/>
        <v>1</v>
      </c>
      <c r="S31" s="6">
        <f t="shared" si="14"/>
        <v>1</v>
      </c>
      <c r="T31" s="6">
        <f t="shared" si="14"/>
        <v>1</v>
      </c>
      <c r="U31" s="6"/>
      <c r="V31" s="6">
        <f t="shared" si="7"/>
        <v>0.75</v>
      </c>
      <c r="W31" s="8">
        <f t="shared" si="8"/>
        <v>0.75</v>
      </c>
      <c r="X31" s="7"/>
      <c r="Z31" s="6"/>
      <c r="AA31" s="7"/>
      <c r="AB31" s="7"/>
      <c r="AC31" s="7"/>
      <c r="AD31" s="7"/>
    </row>
    <row r="32" spans="2:30" x14ac:dyDescent="0.25">
      <c r="B32" s="6" t="s">
        <v>41</v>
      </c>
      <c r="C32" s="7">
        <f t="shared" si="9"/>
        <v>8.0799999999999272</v>
      </c>
      <c r="D32" s="7">
        <f t="shared" si="9"/>
        <v>8.0800000000008367</v>
      </c>
      <c r="E32" s="7">
        <f t="shared" si="12"/>
        <v>8.0799999999999272</v>
      </c>
      <c r="F32" s="7">
        <f t="shared" si="12"/>
        <v>8.0799999999999272</v>
      </c>
      <c r="G32" s="2"/>
      <c r="J32" s="6" t="s">
        <v>41</v>
      </c>
      <c r="K32" s="7">
        <f t="shared" si="10"/>
        <v>1</v>
      </c>
      <c r="L32" s="7">
        <f t="shared" si="10"/>
        <v>1</v>
      </c>
      <c r="M32" s="7">
        <f t="shared" si="13"/>
        <v>1</v>
      </c>
      <c r="N32" s="7">
        <f t="shared" si="13"/>
        <v>1</v>
      </c>
      <c r="O32" s="6"/>
      <c r="P32" s="6" t="s">
        <v>41</v>
      </c>
      <c r="Q32" s="6">
        <f t="shared" si="11"/>
        <v>0</v>
      </c>
      <c r="R32" s="6">
        <f t="shared" si="11"/>
        <v>1</v>
      </c>
      <c r="S32" s="6">
        <f t="shared" si="14"/>
        <v>1</v>
      </c>
      <c r="T32" s="6">
        <f t="shared" si="14"/>
        <v>1</v>
      </c>
      <c r="U32" s="6"/>
      <c r="V32" s="6">
        <f t="shared" si="7"/>
        <v>0.75</v>
      </c>
      <c r="W32" s="8">
        <f t="shared" si="8"/>
        <v>0.75</v>
      </c>
      <c r="X32" s="7"/>
      <c r="Z32" s="6"/>
      <c r="AA32" s="7"/>
      <c r="AB32" s="7"/>
      <c r="AC32" s="7"/>
      <c r="AD32" s="7"/>
    </row>
    <row r="33" spans="2:30" x14ac:dyDescent="0.25">
      <c r="B33" s="6" t="s">
        <v>48</v>
      </c>
      <c r="C33" s="7">
        <f t="shared" si="9"/>
        <v>21.330000000000837</v>
      </c>
      <c r="D33" s="7">
        <f t="shared" si="9"/>
        <v>20.329999999999927</v>
      </c>
      <c r="E33" s="7">
        <f t="shared" si="12"/>
        <v>20.329999999999927</v>
      </c>
      <c r="F33" s="7">
        <f t="shared" si="12"/>
        <v>20.329999999999927</v>
      </c>
      <c r="G33" s="2"/>
      <c r="J33" s="6" t="s">
        <v>48</v>
      </c>
      <c r="K33" s="7">
        <f t="shared" si="10"/>
        <v>1</v>
      </c>
      <c r="L33" s="7">
        <f t="shared" si="10"/>
        <v>1</v>
      </c>
      <c r="M33" s="7">
        <f t="shared" si="13"/>
        <v>1</v>
      </c>
      <c r="N33" s="7">
        <f t="shared" si="13"/>
        <v>1</v>
      </c>
      <c r="O33" s="6"/>
      <c r="P33" s="6" t="s">
        <v>48</v>
      </c>
      <c r="Q33" s="6">
        <f t="shared" si="11"/>
        <v>0</v>
      </c>
      <c r="R33" s="6">
        <f t="shared" si="11"/>
        <v>1</v>
      </c>
      <c r="S33" s="6">
        <f t="shared" si="14"/>
        <v>1</v>
      </c>
      <c r="T33" s="6">
        <f t="shared" si="14"/>
        <v>1</v>
      </c>
      <c r="U33" s="6"/>
      <c r="V33" s="6">
        <f t="shared" si="7"/>
        <v>0.75</v>
      </c>
      <c r="W33" s="8">
        <f t="shared" si="8"/>
        <v>0.75</v>
      </c>
      <c r="X33" s="7"/>
      <c r="Z33" s="6"/>
      <c r="AA33" s="7"/>
      <c r="AB33" s="7"/>
      <c r="AC33" s="7"/>
      <c r="AD33" s="7"/>
    </row>
    <row r="34" spans="2:30" x14ac:dyDescent="0.25">
      <c r="B34" s="6" t="s">
        <v>46</v>
      </c>
      <c r="C34" s="7">
        <f t="shared" si="9"/>
        <v>8.0799999999999272</v>
      </c>
      <c r="D34" s="7">
        <f t="shared" si="9"/>
        <v>8.0800000000008367</v>
      </c>
      <c r="E34" s="7">
        <f t="shared" si="12"/>
        <v>8.0799999999999272</v>
      </c>
      <c r="F34" s="7">
        <f t="shared" si="12"/>
        <v>8.0799999999999272</v>
      </c>
      <c r="G34" s="2"/>
      <c r="J34" s="6" t="s">
        <v>46</v>
      </c>
      <c r="K34" s="7">
        <f t="shared" si="10"/>
        <v>1</v>
      </c>
      <c r="L34" s="7">
        <f t="shared" si="10"/>
        <v>1</v>
      </c>
      <c r="M34" s="7">
        <f t="shared" si="13"/>
        <v>1</v>
      </c>
      <c r="N34" s="7">
        <f t="shared" si="13"/>
        <v>1</v>
      </c>
      <c r="O34" s="6"/>
      <c r="P34" s="6" t="s">
        <v>46</v>
      </c>
      <c r="Q34" s="6">
        <f t="shared" si="11"/>
        <v>0</v>
      </c>
      <c r="R34" s="6">
        <f t="shared" si="11"/>
        <v>1</v>
      </c>
      <c r="S34" s="6">
        <f t="shared" si="14"/>
        <v>1</v>
      </c>
      <c r="T34" s="6">
        <f t="shared" si="14"/>
        <v>1</v>
      </c>
      <c r="U34" s="6"/>
      <c r="V34" s="6">
        <f t="shared" si="7"/>
        <v>0.75</v>
      </c>
      <c r="W34" s="8">
        <f t="shared" si="8"/>
        <v>0.75</v>
      </c>
      <c r="X34" s="7"/>
      <c r="Z34" s="6"/>
      <c r="AA34" s="7"/>
      <c r="AB34" s="7"/>
      <c r="AC34" s="7"/>
      <c r="AD34" s="7"/>
    </row>
    <row r="35" spans="2:30" x14ac:dyDescent="0.25">
      <c r="B35" s="6" t="s">
        <v>69</v>
      </c>
      <c r="C35" s="6">
        <f>AVERAGE(C23:C34)</f>
        <v>21.443000000000211</v>
      </c>
      <c r="D35" s="6">
        <f t="shared" ref="D35" si="15">AVERAGE(D23:D34)</f>
        <v>17.944166666666813</v>
      </c>
      <c r="E35" s="6">
        <f t="shared" ref="E35" si="16">AVERAGE(E23:E34)</f>
        <v>16.811599999999999</v>
      </c>
      <c r="F35" s="6">
        <f t="shared" ref="F35" si="17">AVERAGE(F23:F34)</f>
        <v>16.811599999999817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7"/>
      <c r="X35" s="7"/>
      <c r="Z35" s="6"/>
      <c r="AA35" s="7"/>
      <c r="AB35" s="7"/>
      <c r="AC35" s="7"/>
      <c r="AD35" s="7"/>
    </row>
    <row r="36" spans="2:30" x14ac:dyDescent="0.25">
      <c r="B36" s="6" t="s">
        <v>68</v>
      </c>
      <c r="C36" s="7">
        <f>D17-C17</f>
        <v>-45.9599609375</v>
      </c>
      <c r="D36" s="7">
        <f>E17-D17</f>
        <v>43.31005859375</v>
      </c>
      <c r="E36" s="7">
        <f>F17-E17</f>
        <v>23.60009765625</v>
      </c>
      <c r="F36" s="7">
        <f>G17-F17</f>
        <v>22.08984375</v>
      </c>
      <c r="J36" s="6" t="s">
        <v>68</v>
      </c>
      <c r="K36" s="7">
        <f>SIGN(D17-C17)</f>
        <v>-1</v>
      </c>
      <c r="L36" s="7">
        <f>SIGN(E17-D17)</f>
        <v>1</v>
      </c>
      <c r="M36" s="7">
        <f>SIGN(F17-E17)</f>
        <v>1</v>
      </c>
      <c r="N36" s="7">
        <f>SIGN(G17-F17)</f>
        <v>1</v>
      </c>
      <c r="O36" s="6"/>
      <c r="P36" s="6"/>
      <c r="Q36" s="6"/>
      <c r="R36" s="6"/>
      <c r="S36" s="6"/>
      <c r="T36" s="6"/>
      <c r="U36" s="6"/>
      <c r="V36" s="6"/>
      <c r="W36" s="7"/>
      <c r="X36" s="7"/>
      <c r="Z36" s="6"/>
      <c r="AA36" s="7"/>
      <c r="AB36" s="7"/>
      <c r="AC36" s="7"/>
      <c r="AD36" s="7"/>
    </row>
    <row r="37" spans="2:30" x14ac:dyDescent="0.25">
      <c r="B37" s="3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  <c r="V37" s="7"/>
      <c r="W37" s="7"/>
      <c r="X37" s="7"/>
      <c r="Z37" s="6"/>
      <c r="AA37" s="7"/>
      <c r="AB37" s="7"/>
      <c r="AC37" s="7"/>
      <c r="AD37" s="7"/>
    </row>
    <row r="38" spans="2:30" x14ac:dyDescent="0.25">
      <c r="B38" s="3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"/>
      <c r="V38" s="7"/>
      <c r="W38" s="7"/>
      <c r="X38" s="7"/>
      <c r="Z38" s="6"/>
      <c r="AA38" s="7"/>
      <c r="AB38" s="7"/>
      <c r="AC38" s="7"/>
      <c r="AD38" s="7"/>
    </row>
    <row r="39" spans="2:30" x14ac:dyDescent="0.25">
      <c r="B39" s="3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7"/>
      <c r="V39" s="7"/>
      <c r="W39" s="7"/>
      <c r="X39" s="7"/>
      <c r="Z39" s="6"/>
      <c r="AA39" s="7"/>
      <c r="AB39" s="7"/>
      <c r="AC39" s="7"/>
      <c r="AD39" s="7"/>
    </row>
    <row r="40" spans="2:30" x14ac:dyDescent="0.25">
      <c r="B40" s="3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7"/>
      <c r="V40" s="7"/>
      <c r="W40" s="7"/>
      <c r="X40" s="7"/>
      <c r="Z40" s="6"/>
      <c r="AA40" s="7"/>
      <c r="AB40" s="7"/>
      <c r="AC40" s="7"/>
      <c r="AD40" s="7"/>
    </row>
    <row r="41" spans="2:30" x14ac:dyDescent="0.25">
      <c r="B41" s="3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7"/>
      <c r="V41" s="7"/>
      <c r="W41" s="7"/>
      <c r="X41" s="7"/>
      <c r="Z41" s="6"/>
      <c r="AA41" s="7"/>
      <c r="AB41" s="7"/>
      <c r="AC41" s="7"/>
      <c r="AD41" s="7"/>
    </row>
    <row r="42" spans="2:30" x14ac:dyDescent="0.25">
      <c r="B42" s="3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"/>
      <c r="V42" s="7"/>
      <c r="W42" s="7"/>
      <c r="X42" s="7"/>
      <c r="Z42" s="6"/>
      <c r="AA42" s="7"/>
      <c r="AB42" s="7"/>
      <c r="AC42" s="7"/>
      <c r="AD42" s="7"/>
    </row>
    <row r="43" spans="2:30" x14ac:dyDescent="0.25">
      <c r="B43" s="3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7"/>
      <c r="V43" s="7"/>
      <c r="W43" s="7"/>
      <c r="X43" s="7"/>
      <c r="Z43" s="6"/>
      <c r="AA43" s="7"/>
      <c r="AB43" s="7"/>
      <c r="AC43" s="7"/>
      <c r="AD43" s="7"/>
    </row>
    <row r="44" spans="2:30" x14ac:dyDescent="0.25">
      <c r="B44" s="3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"/>
      <c r="V44" s="7"/>
      <c r="W44" s="7"/>
      <c r="X44" s="7"/>
      <c r="Z44" s="6"/>
      <c r="AA44" s="7"/>
      <c r="AB44" s="7"/>
      <c r="AC44" s="7"/>
      <c r="AD44" s="7"/>
    </row>
  </sheetData>
  <mergeCells count="2">
    <mergeCell ref="B2:L2"/>
    <mergeCell ref="N2:R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9E6E-138C-43F4-84B0-F62D233AA481}">
  <dimension ref="B2:AL45"/>
  <sheetViews>
    <sheetView tabSelected="1" topLeftCell="A64" zoomScale="85" zoomScaleNormal="85" workbookViewId="0">
      <selection activeCell="K81" sqref="K81"/>
    </sheetView>
  </sheetViews>
  <sheetFormatPr defaultRowHeight="15" x14ac:dyDescent="0.25"/>
  <cols>
    <col min="2" max="2" width="20.140625" bestFit="1" customWidth="1"/>
    <col min="3" max="12" width="11.5703125" bestFit="1" customWidth="1"/>
    <col min="13" max="14" width="10.5703125" hidden="1" customWidth="1"/>
    <col min="15" max="15" width="17.28515625" bestFit="1" customWidth="1"/>
    <col min="16" max="16" width="9.7109375" bestFit="1" customWidth="1"/>
    <col min="17" max="17" width="11.5703125" bestFit="1" customWidth="1"/>
    <col min="20" max="20" width="9.5703125" bestFit="1" customWidth="1"/>
    <col min="21" max="21" width="11.5703125" bestFit="1" customWidth="1"/>
    <col min="22" max="22" width="9.5703125" bestFit="1" customWidth="1"/>
    <col min="26" max="26" width="12.7109375" bestFit="1" customWidth="1"/>
    <col min="27" max="27" width="9.5703125" bestFit="1" customWidth="1"/>
    <col min="28" max="28" width="11.28515625" bestFit="1" customWidth="1"/>
    <col min="29" max="32" width="9.5703125" bestFit="1" customWidth="1"/>
    <col min="33" max="33" width="11.28515625" bestFit="1" customWidth="1"/>
    <col min="34" max="34" width="9.5703125" bestFit="1" customWidth="1"/>
  </cols>
  <sheetData>
    <row r="2" spans="2:35" x14ac:dyDescent="0.25">
      <c r="B2" s="15" t="s">
        <v>73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  <c r="S2" t="s">
        <v>74</v>
      </c>
    </row>
    <row r="3" spans="2:35" x14ac:dyDescent="0.25">
      <c r="B3" s="9" t="s">
        <v>12</v>
      </c>
      <c r="C3" s="10" t="s">
        <v>7</v>
      </c>
      <c r="D3" s="10" t="s">
        <v>8</v>
      </c>
      <c r="E3" s="10" t="s">
        <v>9</v>
      </c>
      <c r="F3" s="10" t="s">
        <v>10</v>
      </c>
      <c r="G3" s="10" t="s">
        <v>11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 t="s">
        <v>0</v>
      </c>
      <c r="N3" s="10" t="s">
        <v>1</v>
      </c>
      <c r="O3" s="10" t="s">
        <v>2</v>
      </c>
      <c r="P3" s="10" t="s">
        <v>3</v>
      </c>
      <c r="Q3" s="10" t="s">
        <v>4</v>
      </c>
      <c r="S3" s="3" t="s">
        <v>12</v>
      </c>
      <c r="T3" t="s">
        <v>70</v>
      </c>
      <c r="U3" t="s">
        <v>71</v>
      </c>
      <c r="V3" t="s">
        <v>72</v>
      </c>
      <c r="W3" s="7" t="s">
        <v>79</v>
      </c>
      <c r="AI3" s="1"/>
    </row>
    <row r="4" spans="2:35" x14ac:dyDescent="0.25">
      <c r="B4" s="9" t="s">
        <v>14</v>
      </c>
      <c r="C4" s="12">
        <v>6134.8193359375</v>
      </c>
      <c r="D4" s="12">
        <v>6161.4892578125</v>
      </c>
      <c r="E4" s="12">
        <v>6190.15966796875</v>
      </c>
      <c r="F4" s="12">
        <v>6211.8298339843705</v>
      </c>
      <c r="G4" s="12">
        <v>6245.49951171875</v>
      </c>
      <c r="H4" s="12">
        <v>6282.869140625</v>
      </c>
      <c r="I4" s="12">
        <v>6313.23974609375</v>
      </c>
      <c r="J4" s="12">
        <v>6347.5690917968705</v>
      </c>
      <c r="K4" s="12"/>
      <c r="L4" s="12"/>
      <c r="M4" s="12">
        <v>5950.3095703125</v>
      </c>
      <c r="N4" s="12">
        <v>6357.5393066406205</v>
      </c>
      <c r="O4" s="12" t="s">
        <v>5</v>
      </c>
      <c r="P4" s="12" t="s">
        <v>6</v>
      </c>
      <c r="Q4" s="12">
        <v>0.65</v>
      </c>
      <c r="R4" s="6"/>
      <c r="S4" s="6" t="s">
        <v>13</v>
      </c>
      <c r="T4" s="6">
        <f>AVERAGE(ABS(C4-$C$17),ABS(D4-$D$17),ABS(E4-$E$17),ABS(F4-$F$17),ABS(G4-$G$17),ABS(H4-$H$17),ABS(I4-$I$17),ABS(J4-$J$17))</f>
        <v>188.56451416015511</v>
      </c>
      <c r="U4" s="6">
        <f>AVERAGE((C4-$C$17)^2,(D4-$D$17)^2,(E4-$E$17)^2,(F4-$F$17)^2,(G4-$G$17)^2,(H4-$H$17)^2,(I4-$I$17)^2,(J4-$J$17)^2)</f>
        <v>39193.065734669079</v>
      </c>
      <c r="V4" s="6">
        <f>SQRT(U4)</f>
        <v>197.97238629331383</v>
      </c>
      <c r="W4" s="8">
        <v>0.75</v>
      </c>
      <c r="X4" s="6"/>
      <c r="AI4" s="2"/>
    </row>
    <row r="5" spans="2:35" x14ac:dyDescent="0.25">
      <c r="B5" s="9" t="s">
        <v>21</v>
      </c>
      <c r="C5" s="12">
        <v>6134.19</v>
      </c>
      <c r="D5" s="12">
        <v>6147.31</v>
      </c>
      <c r="E5" s="12">
        <v>6160.43</v>
      </c>
      <c r="F5" s="12">
        <v>6173.55</v>
      </c>
      <c r="G5" s="12">
        <v>6186.67</v>
      </c>
      <c r="H5" s="12">
        <v>6199.79</v>
      </c>
      <c r="I5" s="12">
        <v>6212.91</v>
      </c>
      <c r="J5" s="12">
        <v>6226.03</v>
      </c>
      <c r="K5" s="12">
        <v>6239.15</v>
      </c>
      <c r="L5" s="12">
        <v>6351.37</v>
      </c>
      <c r="M5" s="12">
        <v>5950.74</v>
      </c>
      <c r="N5" s="12">
        <v>6341.39</v>
      </c>
      <c r="O5" s="12" t="s">
        <v>5</v>
      </c>
      <c r="P5" s="12" t="s">
        <v>6</v>
      </c>
      <c r="Q5" s="12">
        <v>0</v>
      </c>
      <c r="R5" s="6"/>
      <c r="S5" s="6" t="s">
        <v>15</v>
      </c>
      <c r="T5" s="6">
        <f>AVERAGE(ABS(C5-$C$17),ABS(D5-$D$17),ABS(E5-$E$17),ABS(F5-$F$17),ABS(G5-$G$17),ABS(H5-$H$17),ABS(I5-$I$17),ABS(J5-$J$17),ABS(K5-$K$17),ABS(L5-$L$17))</f>
        <v>148.54004882812495</v>
      </c>
      <c r="U5" s="6">
        <f>AVERAGE((C5-$C$17)^2,(D5-$D$17)^2,(E5-$E$17)^2,(F5-$F$17)^2,(G5-$G$17)^2,(H5-$H$17)^2,(I5-$I$17)^2,(J5-$J$17)^2,(K5-$K$17)^2,(L5-$L$17)^2)</f>
        <v>23765.924642994483</v>
      </c>
      <c r="V5" s="6">
        <f t="shared" ref="V5:V16" si="0">SQRT(U5)</f>
        <v>154.16200778075799</v>
      </c>
      <c r="W5" s="8">
        <v>0.75</v>
      </c>
      <c r="X5" s="6"/>
      <c r="AI5" s="2"/>
    </row>
    <row r="6" spans="2:35" x14ac:dyDescent="0.25">
      <c r="B6" s="9" t="s">
        <v>23</v>
      </c>
      <c r="C6" s="12">
        <v>6134.8193359375</v>
      </c>
      <c r="D6" s="12">
        <v>6161.4892578125</v>
      </c>
      <c r="E6" s="12">
        <v>6190.15966796875</v>
      </c>
      <c r="F6" s="12">
        <v>6211.8298339843705</v>
      </c>
      <c r="G6" s="12">
        <v>6245.49951171875</v>
      </c>
      <c r="H6" s="12">
        <v>6282.869140625</v>
      </c>
      <c r="I6" s="12">
        <v>6313.23974609375</v>
      </c>
      <c r="J6" s="12">
        <v>6347.5690917968705</v>
      </c>
      <c r="K6" s="12"/>
      <c r="L6" s="12"/>
      <c r="M6" s="12">
        <v>5950.3095703125</v>
      </c>
      <c r="N6" s="12">
        <v>6357.5393066406205</v>
      </c>
      <c r="O6" s="12" t="s">
        <v>5</v>
      </c>
      <c r="P6" s="12" t="s">
        <v>6</v>
      </c>
      <c r="Q6" s="12">
        <v>0.65</v>
      </c>
      <c r="R6" s="6"/>
      <c r="S6" s="6" t="s">
        <v>22</v>
      </c>
      <c r="T6" s="6">
        <f>AVERAGE(ABS(C6-$C$17),ABS(D6-$D$17),ABS(E6-$E$17),ABS(F6-$F$17),ABS(G6-$G$17),ABS(H6-$H$17),ABS(I6-$I$17),ABS(J6-$J$17))</f>
        <v>188.56451416015511</v>
      </c>
      <c r="U6" s="6">
        <f>AVERAGE((C6-$C$17)^2,(D6-$D$17)^2,(E6-$E$17)^2,(F6-$F$17)^2,(G6-$G$17)^2,(H6-$H$17)^2,(I6-$I$17)^2,(J6-$J$17)^2)</f>
        <v>39193.065734669079</v>
      </c>
      <c r="V6" s="6">
        <f t="shared" si="0"/>
        <v>197.97238629331383</v>
      </c>
      <c r="W6" s="8">
        <v>0.75</v>
      </c>
      <c r="X6" s="6"/>
      <c r="AI6" s="2"/>
    </row>
    <row r="7" spans="2:35" x14ac:dyDescent="0.25">
      <c r="B7" s="9" t="s">
        <v>27</v>
      </c>
      <c r="C7" s="12">
        <v>6134.19</v>
      </c>
      <c r="D7" s="12">
        <v>6147.31</v>
      </c>
      <c r="E7" s="12">
        <v>6160.43</v>
      </c>
      <c r="F7" s="12">
        <v>6173.55</v>
      </c>
      <c r="G7" s="12">
        <v>6186.67</v>
      </c>
      <c r="H7" s="12">
        <v>6199.79</v>
      </c>
      <c r="I7" s="12">
        <v>6212.91</v>
      </c>
      <c r="J7" s="12">
        <v>6226.03</v>
      </c>
      <c r="K7" s="12">
        <v>6239.15</v>
      </c>
      <c r="L7" s="12">
        <v>6351.37</v>
      </c>
      <c r="M7" s="12">
        <v>5950.74</v>
      </c>
      <c r="N7" s="12">
        <v>6341.39</v>
      </c>
      <c r="O7" s="12" t="s">
        <v>5</v>
      </c>
      <c r="P7" s="12" t="s">
        <v>6</v>
      </c>
      <c r="Q7" s="12">
        <v>0</v>
      </c>
      <c r="R7" s="6"/>
      <c r="S7" s="6" t="s">
        <v>26</v>
      </c>
      <c r="T7" s="6">
        <f>AVERAGE(ABS(C7-$C$17),ABS(D7-$D$17),ABS(E7-$E$17),ABS(F7-$F$17),ABS(G7-$G$17),ABS(H7-$H$17),ABS(I7-$I$17),ABS(J7-$J$17),ABS(K7-$K$17),ABS(L7-$L$17))</f>
        <v>148.54004882812495</v>
      </c>
      <c r="U7" s="6">
        <f>AVERAGE((C7-$C$17)^2,(D7-$D$17)^2,(E7-$E$17)^2,(F7-$F$17)^2,(G7-$G$17)^2,(H7-$H$17)^2,(I7-$I$17)^2,(J7-$J$17)^2,(K7-$K$17)^2,(L7-$L$17)^2)</f>
        <v>23765.924642994483</v>
      </c>
      <c r="V7" s="6">
        <f t="shared" si="0"/>
        <v>154.16200778075799</v>
      </c>
      <c r="W7" s="8">
        <v>0.75</v>
      </c>
      <c r="X7" s="6"/>
      <c r="AI7" s="2"/>
    </row>
    <row r="8" spans="2:35" x14ac:dyDescent="0.25">
      <c r="B8" s="9" t="s">
        <v>29</v>
      </c>
      <c r="C8" s="12">
        <v>6057.5110000000004</v>
      </c>
      <c r="D8" s="12">
        <v>6091.1109999999999</v>
      </c>
      <c r="E8" s="12">
        <v>6104.7179999999998</v>
      </c>
      <c r="F8" s="12"/>
      <c r="G8" s="12"/>
      <c r="H8" s="12"/>
      <c r="I8" s="12"/>
      <c r="J8" s="12"/>
      <c r="K8" s="12"/>
      <c r="L8" s="12"/>
      <c r="M8" s="12">
        <v>6049.9989999999998</v>
      </c>
      <c r="N8" s="12">
        <v>6118.2219999999998</v>
      </c>
      <c r="O8" s="12" t="s">
        <v>24</v>
      </c>
      <c r="P8" s="12" t="s">
        <v>25</v>
      </c>
      <c r="Q8" s="12">
        <v>0.75</v>
      </c>
      <c r="R8" s="6"/>
      <c r="S8" s="6" t="s">
        <v>28</v>
      </c>
      <c r="T8" s="6">
        <f>AVERAGE(ABS(C8-$C$17),ABS(D8-$D$17),ABS(E8-$E$17))</f>
        <v>60.120169270833379</v>
      </c>
      <c r="U8" s="6">
        <f>AVERAGE((C8-$C$17)^2,(D8-$D$17)^2,(E8-$E$17)^2)</f>
        <v>4691.9647293219205</v>
      </c>
      <c r="V8" s="6">
        <f t="shared" si="0"/>
        <v>68.497917700627369</v>
      </c>
      <c r="W8" s="8">
        <v>0.5</v>
      </c>
      <c r="X8" s="6"/>
      <c r="AI8" s="2"/>
    </row>
    <row r="9" spans="2:35" x14ac:dyDescent="0.25">
      <c r="B9" s="9" t="s">
        <v>31</v>
      </c>
      <c r="C9" s="12">
        <v>6083.4189999999999</v>
      </c>
      <c r="D9" s="12">
        <v>6101.1109999999999</v>
      </c>
      <c r="E9" s="12">
        <v>6120.0110000000004</v>
      </c>
      <c r="F9" s="12">
        <v>6139.1909999999998</v>
      </c>
      <c r="G9" s="12">
        <v>6159.6310000000003</v>
      </c>
      <c r="H9" s="12">
        <v>6181.3410000000003</v>
      </c>
      <c r="I9" s="12">
        <v>6204.3209999999999</v>
      </c>
      <c r="J9" s="12">
        <v>6228.5309999999999</v>
      </c>
      <c r="K9" s="12">
        <v>6254.8909999999996</v>
      </c>
      <c r="L9" s="12">
        <v>6282.491</v>
      </c>
      <c r="M9" s="12">
        <v>6069.8190000000004</v>
      </c>
      <c r="N9" s="12">
        <v>6321.4309999999996</v>
      </c>
      <c r="O9" s="12" t="s">
        <v>24</v>
      </c>
      <c r="P9" s="12" t="s">
        <v>6</v>
      </c>
      <c r="Q9" s="12">
        <v>0.623</v>
      </c>
      <c r="R9" s="6"/>
      <c r="S9" s="6" t="s">
        <v>30</v>
      </c>
      <c r="T9" s="6">
        <f>AVERAGE(ABS(C9-$C$17),ABS(D9-$D$17),ABS(E9-$E$17),ABS(F9-$F$17),ABS(G9-$G$17),ABS(H9-$H$17),ABS(I9-$I$17),ABS(J9-$J$17),ABS(K9-$K$17),ABS(L9-$L$17))</f>
        <v>120.89384882812502</v>
      </c>
      <c r="U9" s="6">
        <f>AVERAGE((C9-$C$17)^2,(D9-$D$17)^2,(E9-$E$17)^2,(F9-$F$17)^2,(G9-$G$17)^2,(H9-$H$17)^2,(I9-$I$17)^2,(J9-$J$17)^2,(K9-$K$17)^2,(L9-$L$17)^2)</f>
        <v>16972.199512365587</v>
      </c>
      <c r="V9" s="6">
        <f t="shared" si="0"/>
        <v>130.27739447949358</v>
      </c>
      <c r="W9" s="8">
        <v>0.75</v>
      </c>
      <c r="X9" s="6"/>
      <c r="AI9" s="2"/>
    </row>
    <row r="10" spans="2:35" x14ac:dyDescent="0.25">
      <c r="B10" s="9" t="s">
        <v>33</v>
      </c>
      <c r="C10" s="12">
        <v>6057.5110000000004</v>
      </c>
      <c r="D10" s="12">
        <v>6091.1109999999999</v>
      </c>
      <c r="E10" s="12">
        <v>6104.7179999999998</v>
      </c>
      <c r="F10" s="12"/>
      <c r="G10" s="12"/>
      <c r="H10" s="12"/>
      <c r="I10" s="12"/>
      <c r="J10" s="12"/>
      <c r="K10" s="12"/>
      <c r="L10" s="12"/>
      <c r="M10" s="12">
        <v>6049.9989999999998</v>
      </c>
      <c r="N10" s="12">
        <v>6118.2219999999998</v>
      </c>
      <c r="O10" s="12" t="s">
        <v>24</v>
      </c>
      <c r="P10" s="12" t="s">
        <v>25</v>
      </c>
      <c r="Q10" s="12">
        <v>0.75</v>
      </c>
      <c r="R10" s="6"/>
      <c r="S10" s="6" t="s">
        <v>32</v>
      </c>
      <c r="T10" s="6">
        <f>AVERAGE(ABS(C10-$C$17),ABS(D10-$D$17),ABS(E10-$E$17))</f>
        <v>60.120169270833379</v>
      </c>
      <c r="U10" s="6">
        <f>AVERAGE((C10-$C$17)^2,(D10-$D$17)^2,(E10-$E$17)^2)</f>
        <v>4691.9647293219205</v>
      </c>
      <c r="V10" s="6">
        <f t="shared" si="0"/>
        <v>68.497917700627369</v>
      </c>
      <c r="W10" s="8">
        <v>0.5</v>
      </c>
      <c r="X10" s="6"/>
      <c r="AI10" s="2"/>
    </row>
    <row r="11" spans="2:35" x14ac:dyDescent="0.25">
      <c r="B11" s="9" t="s">
        <v>35</v>
      </c>
      <c r="C11" s="12">
        <v>6083.4189999999999</v>
      </c>
      <c r="D11" s="12">
        <v>6101.1109999999999</v>
      </c>
      <c r="E11" s="12">
        <v>6120.0110000000004</v>
      </c>
      <c r="F11" s="12">
        <v>6139.1909999999998</v>
      </c>
      <c r="G11" s="12">
        <v>6159.6310000000003</v>
      </c>
      <c r="H11" s="12">
        <v>6181.3410000000003</v>
      </c>
      <c r="I11" s="12">
        <v>6204.3209999999999</v>
      </c>
      <c r="J11" s="12">
        <v>6228.5309999999999</v>
      </c>
      <c r="K11" s="12">
        <v>6254.8909999999996</v>
      </c>
      <c r="L11" s="12">
        <v>6282.491</v>
      </c>
      <c r="M11" s="12">
        <v>6069.8190000000004</v>
      </c>
      <c r="N11" s="12">
        <v>6321.4309999999996</v>
      </c>
      <c r="O11" s="12" t="s">
        <v>24</v>
      </c>
      <c r="P11" s="12" t="s">
        <v>6</v>
      </c>
      <c r="Q11" s="12">
        <v>0.623</v>
      </c>
      <c r="R11" s="6"/>
      <c r="S11" s="6" t="s">
        <v>34</v>
      </c>
      <c r="T11" s="6">
        <f>AVERAGE(ABS(C11-$C$17),ABS(D11-$D$17),ABS(E11-$E$17),ABS(F11-$F$17),ABS(G11-$G$17),ABS(H11-$H$17),ABS(I11-$I$17),ABS(J11-$J$17),ABS(K11-$K$17),ABS(L11-$L$17))</f>
        <v>120.89384882812502</v>
      </c>
      <c r="U11" s="6">
        <f>AVERAGE((C11-$C$17)^2,(D11-$D$17)^2,(E11-$E$17)^2,(F11-$F$17)^2,(G11-$G$17)^2,(H11-$H$17)^2,(I11-$I$17)^2,(J11-$J$17)^2,(K11-$K$17)^2,(L11-$L$17)^2)</f>
        <v>16972.199512365587</v>
      </c>
      <c r="V11" s="6">
        <f t="shared" si="0"/>
        <v>130.27739447949358</v>
      </c>
      <c r="W11" s="8">
        <v>0.75</v>
      </c>
      <c r="X11" s="6"/>
      <c r="AI11" s="2"/>
    </row>
    <row r="12" spans="2:35" x14ac:dyDescent="0.25">
      <c r="B12" s="9" t="s">
        <v>39</v>
      </c>
      <c r="C12" s="12">
        <v>5965</v>
      </c>
      <c r="D12" s="12">
        <v>5988.25</v>
      </c>
      <c r="E12" s="12">
        <v>6016.75</v>
      </c>
      <c r="F12" s="12">
        <v>6047.15</v>
      </c>
      <c r="G12" s="12">
        <v>6079.55</v>
      </c>
      <c r="H12" s="12">
        <v>6085.95</v>
      </c>
      <c r="I12" s="12">
        <v>6104.45</v>
      </c>
      <c r="J12" s="12">
        <v>6125.05</v>
      </c>
      <c r="K12" s="12">
        <v>6147.65</v>
      </c>
      <c r="L12" s="12">
        <v>6171.25</v>
      </c>
      <c r="M12" s="12">
        <v>5850</v>
      </c>
      <c r="N12" s="12">
        <v>6200</v>
      </c>
      <c r="O12" s="12" t="s">
        <v>40</v>
      </c>
      <c r="P12" s="12" t="s">
        <v>6</v>
      </c>
      <c r="Q12" s="12">
        <v>0.85</v>
      </c>
      <c r="R12" s="6"/>
      <c r="S12" s="6" t="s">
        <v>38</v>
      </c>
      <c r="T12" s="6">
        <f>AVERAGE(ABS(C12-$C$17),ABS(D12-$D$17),ABS(E12-$E$17),ABS(F12-$F$17),ABS(G12-$G$17),ABS(H12-$H$17),ABS(I12-$I$17),ABS(J12-$J$17),ABS(K12-$K$17),ABS(L12-$L$17))</f>
        <v>42.770908203124961</v>
      </c>
      <c r="U12" s="6">
        <f>AVERAGE((C12-$C$17)^2,(D12-$D$17)^2,(E12-$E$17)^2,(F12-$F$17)^2,(G12-$G$17)^2,(H12-$H$17)^2,(I12-$I$17)^2,(J12-$J$17)^2,(K12-$K$17)^2,(L12-$L$17)^2)</f>
        <v>2696.1341885023039</v>
      </c>
      <c r="V12" s="6">
        <f t="shared" si="0"/>
        <v>51.924312113905792</v>
      </c>
      <c r="W12" s="8">
        <v>0.75</v>
      </c>
      <c r="X12" s="6"/>
      <c r="AI12" s="2"/>
    </row>
    <row r="13" spans="2:35" x14ac:dyDescent="0.25">
      <c r="B13" s="9" t="s">
        <v>43</v>
      </c>
      <c r="C13" s="12">
        <v>6085.23</v>
      </c>
      <c r="D13" s="12">
        <v>6099.15</v>
      </c>
      <c r="E13" s="12">
        <v>6109.51</v>
      </c>
      <c r="F13" s="12">
        <v>6120.19</v>
      </c>
      <c r="G13" s="12">
        <v>6140.11</v>
      </c>
      <c r="H13" s="12">
        <v>6151.29</v>
      </c>
      <c r="I13" s="12">
        <v>6162.89</v>
      </c>
      <c r="J13" s="12">
        <v>6174.91</v>
      </c>
      <c r="K13" s="12">
        <v>6187.25</v>
      </c>
      <c r="L13" s="12">
        <v>6200.01</v>
      </c>
      <c r="M13" s="12">
        <v>5983.99</v>
      </c>
      <c r="N13" s="12">
        <v>6211.02</v>
      </c>
      <c r="O13" s="12" t="s">
        <v>40</v>
      </c>
      <c r="P13" s="12" t="s">
        <v>6</v>
      </c>
      <c r="Q13" s="12">
        <v>0.82</v>
      </c>
      <c r="R13" s="6"/>
      <c r="S13" s="6" t="s">
        <v>41</v>
      </c>
      <c r="T13" s="6">
        <f>AVERAGE(ABS(C13-$C$17),ABS(D13-$D$17),ABS(E13-$E$17),ABS(F13-$F$17),ABS(G13-$G$17),ABS(H13-$H$17),ABS(I13-$I$17),ABS(J13-$J$17),ABS(K13-$K$17),ABS(L13-$L$17))</f>
        <v>88.454048828124911</v>
      </c>
      <c r="U13" s="6">
        <f>AVERAGE((C13-$C$17)^2,(D13-$D$17)^2,(E13-$E$17)^2,(F13-$F$17)^2,(G13-$G$17)^2,(H13-$H$17)^2,(I13-$I$17)^2,(J13-$J$17)^2,(K13-$K$17)^2,(L13-$L$17)^2)</f>
        <v>8655.0840834632381</v>
      </c>
      <c r="V13" s="6">
        <f t="shared" si="0"/>
        <v>93.032704375736799</v>
      </c>
      <c r="W13" s="8">
        <v>0.75</v>
      </c>
      <c r="X13" s="6"/>
      <c r="AI13" s="2"/>
    </row>
    <row r="14" spans="2:35" x14ac:dyDescent="0.25">
      <c r="B14" s="9" t="s">
        <v>47</v>
      </c>
      <c r="C14" s="12">
        <v>5965</v>
      </c>
      <c r="D14" s="12">
        <v>5988.25</v>
      </c>
      <c r="E14" s="12">
        <v>6016.75</v>
      </c>
      <c r="F14" s="12">
        <v>6047.15</v>
      </c>
      <c r="G14" s="12">
        <v>6079.55</v>
      </c>
      <c r="H14" s="12">
        <v>6085.95</v>
      </c>
      <c r="I14" s="12">
        <v>6104.45</v>
      </c>
      <c r="J14" s="12">
        <v>6125.05</v>
      </c>
      <c r="K14" s="12">
        <v>6147.65</v>
      </c>
      <c r="L14" s="12">
        <v>6171.25</v>
      </c>
      <c r="M14" s="12">
        <v>5850</v>
      </c>
      <c r="N14" s="12">
        <v>6200</v>
      </c>
      <c r="O14" s="12" t="s">
        <v>40</v>
      </c>
      <c r="P14" s="12" t="s">
        <v>6</v>
      </c>
      <c r="Q14" s="12">
        <v>0.85</v>
      </c>
      <c r="R14" s="6"/>
      <c r="S14" s="6" t="s">
        <v>48</v>
      </c>
      <c r="T14" s="6">
        <f>AVERAGE(ABS(C14-$C$17),ABS(D14-$D$17),ABS(E14-$E$17),ABS(F14-$F$17),ABS(G14-$G$17),ABS(H14-$H$17),ABS(I14-$I$17),ABS(J14-$J$17),ABS(K14-$K$17),ABS(L14-$L$17))</f>
        <v>42.770908203124961</v>
      </c>
      <c r="U14" s="6">
        <f>AVERAGE((C14-$C$17)^2,(D14-$D$17)^2,(E14-$E$17)^2,(F14-$F$17)^2,(G14-$G$17)^2,(H14-$H$17)^2,(I14-$I$17)^2,(J14-$J$17)^2,(K14-$K$17)^2,(L14-$L$17)^2)</f>
        <v>2696.1341885023039</v>
      </c>
      <c r="V14" s="6">
        <f t="shared" si="0"/>
        <v>51.924312113905792</v>
      </c>
      <c r="W14" s="8">
        <v>0.75</v>
      </c>
      <c r="X14" s="6"/>
      <c r="AI14" s="2"/>
    </row>
    <row r="15" spans="2:35" x14ac:dyDescent="0.25">
      <c r="B15" s="9" t="s">
        <v>45</v>
      </c>
      <c r="C15" s="12">
        <v>6085.23</v>
      </c>
      <c r="D15" s="12">
        <v>6099.15</v>
      </c>
      <c r="E15" s="12">
        <v>6109.51</v>
      </c>
      <c r="F15" s="12">
        <v>6120.19</v>
      </c>
      <c r="G15" s="12">
        <v>6140.11</v>
      </c>
      <c r="H15" s="12">
        <v>6151.29</v>
      </c>
      <c r="I15" s="12">
        <v>6162.89</v>
      </c>
      <c r="J15" s="12">
        <v>6174.91</v>
      </c>
      <c r="K15" s="12">
        <v>6187.25</v>
      </c>
      <c r="L15" s="12">
        <v>6200.01</v>
      </c>
      <c r="M15" s="12">
        <v>5983.99</v>
      </c>
      <c r="N15" s="12">
        <v>6211.02</v>
      </c>
      <c r="O15" s="12" t="s">
        <v>40</v>
      </c>
      <c r="P15" s="12" t="s">
        <v>6</v>
      </c>
      <c r="Q15" s="12">
        <v>0.82</v>
      </c>
      <c r="R15" s="6"/>
      <c r="S15" s="6" t="s">
        <v>46</v>
      </c>
      <c r="T15" s="6">
        <f>AVERAGE(ABS(C15-$C$17),ABS(D15-$D$17),ABS(E15-$E$17),ABS(F15-$F$17),ABS(G15-$G$17),ABS(H15-$H$17),ABS(I15-$I$17),ABS(J15-$J$17),ABS(K15-$K$17),ABS(L15-$L$17))</f>
        <v>88.454048828124911</v>
      </c>
      <c r="U15" s="6">
        <f>AVERAGE((C15-$C$17)^2,(D15-$D$17)^2,(E15-$E$17)^2,(F15-$F$17)^2,(G15-$G$17)^2,(H15-$H$17)^2,(I15-$I$17)^2,(J15-$J$17)^2,(K15-$K$17)^2,(L15-$L$17)^2)</f>
        <v>8655.0840834632381</v>
      </c>
      <c r="V15" s="6">
        <f t="shared" si="0"/>
        <v>93.032704375736799</v>
      </c>
      <c r="W15" s="8">
        <v>0.75</v>
      </c>
      <c r="X15" s="6"/>
      <c r="AI15" s="2"/>
    </row>
    <row r="16" spans="2:35" x14ac:dyDescent="0.25">
      <c r="B16" s="9" t="s">
        <v>69</v>
      </c>
      <c r="C16" s="12">
        <f>AVERAGE(C4:C15)</f>
        <v>6076.6948893229164</v>
      </c>
      <c r="D16" s="12">
        <f t="shared" ref="D16:I16" si="1">AVERAGE(D4:D15)</f>
        <v>6098.0702096354171</v>
      </c>
      <c r="E16" s="12">
        <f t="shared" si="1"/>
        <v>6116.9297779947919</v>
      </c>
      <c r="F16" s="12">
        <f t="shared" si="1"/>
        <v>6138.382166796875</v>
      </c>
      <c r="G16" s="12">
        <f t="shared" si="1"/>
        <v>6162.2921023437502</v>
      </c>
      <c r="H16" s="12">
        <f t="shared" si="1"/>
        <v>6180.248028125</v>
      </c>
      <c r="I16" s="12">
        <f t="shared" si="1"/>
        <v>6199.5621492187493</v>
      </c>
      <c r="J16" s="12">
        <f t="shared" ref="J16" si="2">AVERAGE(J4:J15)</f>
        <v>6220.4180183593753</v>
      </c>
      <c r="K16" s="12">
        <f t="shared" ref="K16" si="3">AVERAGE(K4:K15)</f>
        <v>6207.2352499999997</v>
      </c>
      <c r="L16" s="12">
        <f t="shared" ref="L16" si="4">AVERAGE(L4:L15)</f>
        <v>6251.2802500000007</v>
      </c>
      <c r="M16" s="12"/>
      <c r="N16" s="12"/>
      <c r="O16" s="12"/>
      <c r="P16" s="12"/>
      <c r="Q16" s="12">
        <f>AVERAGE(Q4:Q15)</f>
        <v>0.61550000000000005</v>
      </c>
      <c r="R16" s="6"/>
      <c r="S16" s="6" t="s">
        <v>69</v>
      </c>
      <c r="T16" s="6">
        <f t="shared" ref="T16" si="5">AVERAGE(ABS(C16-$C$17),ABS(D16-$D$17),ABS(E16-$E$17),ABS(F16-$F$17),ABS(G16-$G$17),ABS(H16-$H$17),ABS(I16-$I$17),ABS(J16-$J$17),ABS(K16-$K$17),ABS(L16-$L$17))</f>
        <v>110.51133300781257</v>
      </c>
      <c r="U16" s="6">
        <f t="shared" ref="U16" si="6">AVERAGE((C16-$C$17)^2,(D16-$D$17)^2,(E16-$E$17)^2,(F16-$F$17)^2,(G16-$G$17)^2,(H16-$H$17)^2,(I16-$I$17)^2,(J16-$J$17)^2,(K16-$K$17)^2,(L16-$L$17)^2)</f>
        <v>13763.685848566369</v>
      </c>
      <c r="V16" s="6">
        <f t="shared" si="0"/>
        <v>117.31873613607661</v>
      </c>
      <c r="W16" s="8"/>
      <c r="X16" s="6"/>
    </row>
    <row r="17" spans="2:38" x14ac:dyDescent="0.25">
      <c r="B17" s="9" t="s">
        <v>68</v>
      </c>
      <c r="C17" s="12">
        <v>6040.52978515625</v>
      </c>
      <c r="D17" s="12">
        <v>5994.56982421875</v>
      </c>
      <c r="E17" s="12">
        <v>6037.8798828125</v>
      </c>
      <c r="F17" s="12">
        <v>6061.47998046875</v>
      </c>
      <c r="G17" s="12">
        <v>6083.56982421875</v>
      </c>
      <c r="H17" s="12">
        <v>6025.990234375</v>
      </c>
      <c r="I17" s="12">
        <v>6066.43994140625</v>
      </c>
      <c r="J17" s="12">
        <v>6068.5</v>
      </c>
      <c r="K17" s="12">
        <v>6051.97021484375</v>
      </c>
      <c r="L17" s="12">
        <v>6115.06982421875</v>
      </c>
      <c r="M17" s="12"/>
      <c r="N17" s="12"/>
      <c r="O17" s="12"/>
      <c r="P17" s="12"/>
      <c r="Q17" s="12"/>
      <c r="R17" s="6"/>
      <c r="S17" s="6"/>
      <c r="T17" s="6"/>
      <c r="U17" s="6"/>
      <c r="V17" s="6"/>
      <c r="W17" s="6"/>
      <c r="X17" s="6"/>
      <c r="AI17" s="2"/>
    </row>
    <row r="18" spans="2:38" x14ac:dyDescent="0.25">
      <c r="B18" s="3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  <c r="AH18" s="7"/>
      <c r="AI18" s="2"/>
    </row>
    <row r="19" spans="2:38" x14ac:dyDescent="0.25">
      <c r="B19" s="3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7"/>
      <c r="AA19" s="7"/>
      <c r="AB19" s="7"/>
      <c r="AC19" s="7"/>
      <c r="AD19" s="7"/>
      <c r="AE19" s="7"/>
      <c r="AF19" s="7"/>
      <c r="AG19" s="7"/>
      <c r="AH19" s="7"/>
      <c r="AI19" s="2"/>
    </row>
    <row r="20" spans="2:38" x14ac:dyDescent="0.25">
      <c r="B20" t="s">
        <v>75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7"/>
      <c r="AA20" s="7"/>
      <c r="AB20" s="7"/>
      <c r="AC20" s="7"/>
      <c r="AD20" s="7"/>
      <c r="AE20" s="7"/>
      <c r="AF20" s="7"/>
      <c r="AG20" s="7"/>
      <c r="AH20" s="7"/>
      <c r="AI20" s="2"/>
    </row>
    <row r="21" spans="2:38" x14ac:dyDescent="0.25">
      <c r="B21" s="3" t="s">
        <v>12</v>
      </c>
      <c r="C21" s="1" t="s">
        <v>8</v>
      </c>
      <c r="D21" s="1" t="s">
        <v>9</v>
      </c>
      <c r="E21" s="1" t="s">
        <v>10</v>
      </c>
      <c r="F21" s="1" t="s">
        <v>11</v>
      </c>
      <c r="G21" s="1" t="s">
        <v>16</v>
      </c>
      <c r="H21" s="1" t="s">
        <v>17</v>
      </c>
      <c r="I21" s="1" t="s">
        <v>18</v>
      </c>
      <c r="J21" s="1" t="s">
        <v>19</v>
      </c>
      <c r="K21" s="1" t="s">
        <v>20</v>
      </c>
      <c r="L21" s="6"/>
      <c r="M21" s="6"/>
      <c r="N21" s="6"/>
      <c r="O21" t="s">
        <v>77</v>
      </c>
      <c r="T21" s="6"/>
      <c r="Z21" s="6" t="s">
        <v>78</v>
      </c>
      <c r="AA21" s="6"/>
      <c r="AB21" s="6"/>
      <c r="AC21" s="6"/>
      <c r="AD21" s="6"/>
      <c r="AE21" s="6"/>
      <c r="AK21" s="6" t="s">
        <v>76</v>
      </c>
      <c r="AL21" s="7" t="s">
        <v>79</v>
      </c>
    </row>
    <row r="22" spans="2:38" x14ac:dyDescent="0.25">
      <c r="B22" s="6" t="s">
        <v>13</v>
      </c>
      <c r="C22" s="7">
        <f t="shared" ref="C22:I25" si="7">D4-C4</f>
        <v>26.669921875</v>
      </c>
      <c r="D22" s="7">
        <f t="shared" si="7"/>
        <v>28.67041015625</v>
      </c>
      <c r="E22" s="7">
        <f t="shared" si="7"/>
        <v>21.670166015620453</v>
      </c>
      <c r="F22" s="7">
        <f t="shared" si="7"/>
        <v>33.669677734379547</v>
      </c>
      <c r="G22" s="7">
        <f t="shared" si="7"/>
        <v>37.36962890625</v>
      </c>
      <c r="H22" s="7">
        <f t="shared" si="7"/>
        <v>30.37060546875</v>
      </c>
      <c r="I22" s="7">
        <f t="shared" si="7"/>
        <v>34.329345703120453</v>
      </c>
      <c r="J22" s="7"/>
      <c r="K22" s="7"/>
      <c r="L22" s="6"/>
      <c r="M22" s="6"/>
      <c r="N22" s="6"/>
      <c r="O22" s="3" t="s">
        <v>12</v>
      </c>
      <c r="P22" s="1" t="s">
        <v>8</v>
      </c>
      <c r="Q22" s="1" t="s">
        <v>9</v>
      </c>
      <c r="R22" s="1" t="s">
        <v>10</v>
      </c>
      <c r="S22" s="1" t="s">
        <v>11</v>
      </c>
      <c r="T22" s="1" t="s">
        <v>16</v>
      </c>
      <c r="U22" s="1" t="s">
        <v>17</v>
      </c>
      <c r="V22" s="1" t="s">
        <v>18</v>
      </c>
      <c r="W22" s="1" t="s">
        <v>19</v>
      </c>
      <c r="X22" s="1" t="s">
        <v>20</v>
      </c>
      <c r="Z22" s="3" t="s">
        <v>12</v>
      </c>
      <c r="AA22" s="1" t="s">
        <v>8</v>
      </c>
      <c r="AB22" s="1" t="s">
        <v>9</v>
      </c>
      <c r="AC22" s="1" t="s">
        <v>10</v>
      </c>
      <c r="AD22" s="1" t="s">
        <v>11</v>
      </c>
      <c r="AE22" s="1" t="s">
        <v>16</v>
      </c>
      <c r="AF22" s="1" t="s">
        <v>17</v>
      </c>
      <c r="AG22" s="1" t="s">
        <v>18</v>
      </c>
      <c r="AH22" s="1" t="s">
        <v>19</v>
      </c>
      <c r="AI22" s="1" t="s">
        <v>20</v>
      </c>
      <c r="AK22" s="6"/>
      <c r="AL22" s="7"/>
    </row>
    <row r="23" spans="2:38" x14ac:dyDescent="0.25">
      <c r="B23" s="6" t="s">
        <v>15</v>
      </c>
      <c r="C23" s="7">
        <f t="shared" si="7"/>
        <v>13.1200000000008</v>
      </c>
      <c r="D23" s="7">
        <f t="shared" si="7"/>
        <v>13.119999999999891</v>
      </c>
      <c r="E23" s="7">
        <f t="shared" si="7"/>
        <v>13.119999999999891</v>
      </c>
      <c r="F23" s="7">
        <f t="shared" si="7"/>
        <v>13.119999999999891</v>
      </c>
      <c r="G23" s="7">
        <f t="shared" si="7"/>
        <v>13.119999999999891</v>
      </c>
      <c r="H23" s="7">
        <f t="shared" si="7"/>
        <v>13.119999999999891</v>
      </c>
      <c r="I23" s="7">
        <f t="shared" si="7"/>
        <v>13.119999999999891</v>
      </c>
      <c r="J23" s="7">
        <f>K5-J5</f>
        <v>13.119999999999891</v>
      </c>
      <c r="K23" s="7">
        <f>L5-K5</f>
        <v>112.22000000000025</v>
      </c>
      <c r="L23" s="6"/>
      <c r="M23" s="6"/>
      <c r="N23" s="6"/>
      <c r="O23" s="6" t="s">
        <v>13</v>
      </c>
      <c r="P23" s="7">
        <f t="shared" ref="P23:V26" si="8">SIGN(D4-C4)</f>
        <v>1</v>
      </c>
      <c r="Q23" s="7">
        <f t="shared" si="8"/>
        <v>1</v>
      </c>
      <c r="R23" s="7">
        <f t="shared" si="8"/>
        <v>1</v>
      </c>
      <c r="S23" s="7">
        <f t="shared" si="8"/>
        <v>1</v>
      </c>
      <c r="T23" s="7">
        <f t="shared" si="8"/>
        <v>1</v>
      </c>
      <c r="U23" s="7">
        <f t="shared" si="8"/>
        <v>1</v>
      </c>
      <c r="V23" s="7">
        <f t="shared" si="8"/>
        <v>1</v>
      </c>
      <c r="W23" s="7"/>
      <c r="X23" s="7"/>
      <c r="Z23" s="6" t="s">
        <v>13</v>
      </c>
      <c r="AA23" s="6">
        <f t="shared" ref="AA23:AD26" si="9">IF(P23=P$36,1,0)</f>
        <v>0</v>
      </c>
      <c r="AB23" s="6">
        <f t="shared" si="9"/>
        <v>1</v>
      </c>
      <c r="AC23" s="6">
        <f t="shared" si="9"/>
        <v>1</v>
      </c>
      <c r="AD23" s="6">
        <f t="shared" si="9"/>
        <v>1</v>
      </c>
      <c r="AE23" s="6">
        <f t="shared" ref="AE23:AI34" si="10">IF(T23=T$36,1,0)</f>
        <v>0</v>
      </c>
      <c r="AF23" s="6">
        <f t="shared" si="10"/>
        <v>1</v>
      </c>
      <c r="AG23" s="6">
        <f t="shared" si="10"/>
        <v>1</v>
      </c>
      <c r="AH23" s="6"/>
      <c r="AI23" s="6"/>
      <c r="AK23" s="6">
        <f t="shared" ref="AK23:AK34" si="11">AVERAGE(AA23:AD23)</f>
        <v>0.75</v>
      </c>
      <c r="AL23" s="8">
        <f>AK23</f>
        <v>0.75</v>
      </c>
    </row>
    <row r="24" spans="2:38" x14ac:dyDescent="0.25">
      <c r="B24" s="6" t="s">
        <v>22</v>
      </c>
      <c r="C24" s="7">
        <f t="shared" si="7"/>
        <v>26.669921875</v>
      </c>
      <c r="D24" s="7">
        <f t="shared" si="7"/>
        <v>28.67041015625</v>
      </c>
      <c r="E24" s="7">
        <f t="shared" si="7"/>
        <v>21.670166015620453</v>
      </c>
      <c r="F24" s="7">
        <f t="shared" si="7"/>
        <v>33.669677734379547</v>
      </c>
      <c r="G24" s="7">
        <f t="shared" si="7"/>
        <v>37.36962890625</v>
      </c>
      <c r="H24" s="7">
        <f t="shared" si="7"/>
        <v>30.37060546875</v>
      </c>
      <c r="I24" s="7">
        <f t="shared" si="7"/>
        <v>34.329345703120453</v>
      </c>
      <c r="J24" s="7"/>
      <c r="K24" s="7"/>
      <c r="L24" s="6"/>
      <c r="M24" s="6"/>
      <c r="N24" s="6"/>
      <c r="O24" s="6" t="s">
        <v>15</v>
      </c>
      <c r="P24" s="7">
        <f t="shared" si="8"/>
        <v>1</v>
      </c>
      <c r="Q24" s="7">
        <f t="shared" si="8"/>
        <v>1</v>
      </c>
      <c r="R24" s="7">
        <f t="shared" si="8"/>
        <v>1</v>
      </c>
      <c r="S24" s="7">
        <f t="shared" si="8"/>
        <v>1</v>
      </c>
      <c r="T24" s="7">
        <f t="shared" si="8"/>
        <v>1</v>
      </c>
      <c r="U24" s="7">
        <f t="shared" si="8"/>
        <v>1</v>
      </c>
      <c r="V24" s="7">
        <f t="shared" si="8"/>
        <v>1</v>
      </c>
      <c r="W24" s="7">
        <f>SIGN(K5-J5)</f>
        <v>1</v>
      </c>
      <c r="X24" s="7">
        <f>SIGN(L5-K5)</f>
        <v>1</v>
      </c>
      <c r="Z24" s="6" t="s">
        <v>15</v>
      </c>
      <c r="AA24" s="6">
        <f t="shared" si="9"/>
        <v>0</v>
      </c>
      <c r="AB24" s="6">
        <f t="shared" si="9"/>
        <v>1</v>
      </c>
      <c r="AC24" s="6">
        <f t="shared" si="9"/>
        <v>1</v>
      </c>
      <c r="AD24" s="6">
        <f t="shared" si="9"/>
        <v>1</v>
      </c>
      <c r="AE24" s="6">
        <f t="shared" si="10"/>
        <v>0</v>
      </c>
      <c r="AF24" s="6">
        <f t="shared" si="10"/>
        <v>1</v>
      </c>
      <c r="AG24" s="6">
        <f t="shared" si="10"/>
        <v>1</v>
      </c>
      <c r="AH24" s="6">
        <f t="shared" si="10"/>
        <v>0</v>
      </c>
      <c r="AI24" s="6">
        <f t="shared" si="10"/>
        <v>1</v>
      </c>
      <c r="AK24" s="6">
        <f t="shared" si="11"/>
        <v>0.75</v>
      </c>
      <c r="AL24" s="8">
        <f t="shared" ref="AL24:AL34" si="12">AK24</f>
        <v>0.75</v>
      </c>
    </row>
    <row r="25" spans="2:38" x14ac:dyDescent="0.25">
      <c r="B25" s="6" t="s">
        <v>26</v>
      </c>
      <c r="C25" s="7">
        <f t="shared" si="7"/>
        <v>13.1200000000008</v>
      </c>
      <c r="D25" s="7">
        <f t="shared" si="7"/>
        <v>13.119999999999891</v>
      </c>
      <c r="E25" s="7">
        <f t="shared" si="7"/>
        <v>13.119999999999891</v>
      </c>
      <c r="F25" s="7">
        <f t="shared" si="7"/>
        <v>13.119999999999891</v>
      </c>
      <c r="G25" s="7">
        <f t="shared" si="7"/>
        <v>13.119999999999891</v>
      </c>
      <c r="H25" s="7">
        <f t="shared" si="7"/>
        <v>13.119999999999891</v>
      </c>
      <c r="I25" s="7">
        <f t="shared" si="7"/>
        <v>13.119999999999891</v>
      </c>
      <c r="J25" s="7">
        <f>K7-J7</f>
        <v>13.119999999999891</v>
      </c>
      <c r="K25" s="7">
        <f>L7-K7</f>
        <v>112.22000000000025</v>
      </c>
      <c r="L25" s="6"/>
      <c r="M25" s="6"/>
      <c r="N25" s="6"/>
      <c r="O25" s="6" t="s">
        <v>22</v>
      </c>
      <c r="P25" s="7">
        <f t="shared" si="8"/>
        <v>1</v>
      </c>
      <c r="Q25" s="7">
        <f t="shared" si="8"/>
        <v>1</v>
      </c>
      <c r="R25" s="7">
        <f t="shared" si="8"/>
        <v>1</v>
      </c>
      <c r="S25" s="7">
        <f t="shared" si="8"/>
        <v>1</v>
      </c>
      <c r="T25" s="7">
        <f t="shared" si="8"/>
        <v>1</v>
      </c>
      <c r="U25" s="7">
        <f t="shared" si="8"/>
        <v>1</v>
      </c>
      <c r="V25" s="7">
        <f t="shared" si="8"/>
        <v>1</v>
      </c>
      <c r="W25" s="7"/>
      <c r="X25" s="7"/>
      <c r="Z25" s="6" t="s">
        <v>22</v>
      </c>
      <c r="AA25" s="6">
        <f t="shared" si="9"/>
        <v>0</v>
      </c>
      <c r="AB25" s="6">
        <f t="shared" si="9"/>
        <v>1</v>
      </c>
      <c r="AC25" s="6">
        <f t="shared" si="9"/>
        <v>1</v>
      </c>
      <c r="AD25" s="6">
        <f t="shared" si="9"/>
        <v>1</v>
      </c>
      <c r="AE25" s="6">
        <f t="shared" si="10"/>
        <v>0</v>
      </c>
      <c r="AF25" s="6">
        <f t="shared" si="10"/>
        <v>1</v>
      </c>
      <c r="AG25" s="6">
        <f t="shared" si="10"/>
        <v>1</v>
      </c>
      <c r="AH25" s="6"/>
      <c r="AI25" s="6"/>
      <c r="AK25" s="6">
        <f t="shared" si="11"/>
        <v>0.75</v>
      </c>
      <c r="AL25" s="8">
        <f t="shared" si="12"/>
        <v>0.75</v>
      </c>
    </row>
    <row r="26" spans="2:38" x14ac:dyDescent="0.25">
      <c r="B26" s="6" t="s">
        <v>28</v>
      </c>
      <c r="C26" s="7">
        <f t="shared" ref="C26:D33" si="13">D8-C8</f>
        <v>33.599999999999454</v>
      </c>
      <c r="D26" s="7">
        <f t="shared" si="13"/>
        <v>13.606999999999971</v>
      </c>
      <c r="E26" s="7"/>
      <c r="F26" s="7"/>
      <c r="G26" s="7"/>
      <c r="H26" s="7"/>
      <c r="I26" s="7"/>
      <c r="J26" s="7"/>
      <c r="K26" s="7"/>
      <c r="L26" s="6"/>
      <c r="M26" s="6"/>
      <c r="N26" s="6"/>
      <c r="O26" s="6" t="s">
        <v>26</v>
      </c>
      <c r="P26" s="7">
        <f t="shared" si="8"/>
        <v>1</v>
      </c>
      <c r="Q26" s="7">
        <f t="shared" si="8"/>
        <v>1</v>
      </c>
      <c r="R26" s="7">
        <f t="shared" si="8"/>
        <v>1</v>
      </c>
      <c r="S26" s="7">
        <f t="shared" si="8"/>
        <v>1</v>
      </c>
      <c r="T26" s="7">
        <f t="shared" si="8"/>
        <v>1</v>
      </c>
      <c r="U26" s="7">
        <f t="shared" si="8"/>
        <v>1</v>
      </c>
      <c r="V26" s="7">
        <f t="shared" si="8"/>
        <v>1</v>
      </c>
      <c r="W26" s="7">
        <f>SIGN(K7-J7)</f>
        <v>1</v>
      </c>
      <c r="X26" s="7">
        <f>SIGN(L7-K7)</f>
        <v>1</v>
      </c>
      <c r="Z26" s="6" t="s">
        <v>26</v>
      </c>
      <c r="AA26" s="6">
        <f t="shared" si="9"/>
        <v>0</v>
      </c>
      <c r="AB26" s="6">
        <f t="shared" si="9"/>
        <v>1</v>
      </c>
      <c r="AC26" s="6">
        <f t="shared" si="9"/>
        <v>1</v>
      </c>
      <c r="AD26" s="6">
        <f t="shared" si="9"/>
        <v>1</v>
      </c>
      <c r="AE26" s="6">
        <f t="shared" si="10"/>
        <v>0</v>
      </c>
      <c r="AF26" s="6">
        <f t="shared" si="10"/>
        <v>1</v>
      </c>
      <c r="AG26" s="6">
        <f t="shared" si="10"/>
        <v>1</v>
      </c>
      <c r="AH26" s="6">
        <f t="shared" si="10"/>
        <v>0</v>
      </c>
      <c r="AI26" s="6">
        <f t="shared" si="10"/>
        <v>1</v>
      </c>
      <c r="AK26" s="6">
        <f t="shared" si="11"/>
        <v>0.75</v>
      </c>
      <c r="AL26" s="8">
        <f t="shared" si="12"/>
        <v>0.75</v>
      </c>
    </row>
    <row r="27" spans="2:38" x14ac:dyDescent="0.25">
      <c r="B27" s="6" t="s">
        <v>30</v>
      </c>
      <c r="C27" s="7">
        <f t="shared" si="13"/>
        <v>17.692000000000007</v>
      </c>
      <c r="D27" s="7">
        <f t="shared" si="13"/>
        <v>18.900000000000546</v>
      </c>
      <c r="E27" s="7">
        <f t="shared" ref="E27:K27" si="14">F9-E9</f>
        <v>19.179999999999382</v>
      </c>
      <c r="F27" s="7">
        <f t="shared" si="14"/>
        <v>20.440000000000509</v>
      </c>
      <c r="G27" s="7">
        <f t="shared" si="14"/>
        <v>21.710000000000036</v>
      </c>
      <c r="H27" s="7">
        <f t="shared" si="14"/>
        <v>22.979999999999563</v>
      </c>
      <c r="I27" s="7">
        <f t="shared" si="14"/>
        <v>24.210000000000036</v>
      </c>
      <c r="J27" s="7">
        <f t="shared" si="14"/>
        <v>26.359999999999673</v>
      </c>
      <c r="K27" s="7">
        <f t="shared" si="14"/>
        <v>27.600000000000364</v>
      </c>
      <c r="L27" s="6"/>
      <c r="M27" s="6"/>
      <c r="N27" s="6"/>
      <c r="O27" s="6" t="s">
        <v>28</v>
      </c>
      <c r="P27" s="7">
        <f t="shared" ref="P27:Q34" si="15">SIGN(D8-C8)</f>
        <v>1</v>
      </c>
      <c r="Q27" s="7">
        <f t="shared" si="15"/>
        <v>1</v>
      </c>
      <c r="R27" s="7"/>
      <c r="S27" s="7"/>
      <c r="T27" s="7"/>
      <c r="U27" s="7"/>
      <c r="V27" s="7"/>
      <c r="W27" s="7"/>
      <c r="X27" s="7"/>
      <c r="Z27" s="6" t="s">
        <v>28</v>
      </c>
      <c r="AA27" s="6">
        <f t="shared" ref="AA27:AB34" si="16">IF(P27=P$36,1,0)</f>
        <v>0</v>
      </c>
      <c r="AB27" s="6">
        <f t="shared" si="16"/>
        <v>1</v>
      </c>
      <c r="AC27" s="6"/>
      <c r="AD27" s="6"/>
      <c r="AE27" s="6"/>
      <c r="AF27" s="6"/>
      <c r="AG27" s="6"/>
      <c r="AH27" s="6"/>
      <c r="AI27" s="6"/>
      <c r="AK27" s="6">
        <f t="shared" si="11"/>
        <v>0.5</v>
      </c>
      <c r="AL27" s="8">
        <f t="shared" si="12"/>
        <v>0.5</v>
      </c>
    </row>
    <row r="28" spans="2:38" x14ac:dyDescent="0.25">
      <c r="B28" s="6" t="s">
        <v>32</v>
      </c>
      <c r="C28" s="7">
        <f t="shared" si="13"/>
        <v>33.599999999999454</v>
      </c>
      <c r="D28" s="7">
        <f t="shared" si="13"/>
        <v>13.606999999999971</v>
      </c>
      <c r="E28" s="7"/>
      <c r="F28" s="7"/>
      <c r="G28" s="7"/>
      <c r="H28" s="7"/>
      <c r="I28" s="7"/>
      <c r="J28" s="7"/>
      <c r="K28" s="7"/>
      <c r="L28" s="6"/>
      <c r="M28" s="6"/>
      <c r="N28" s="6"/>
      <c r="O28" s="6" t="s">
        <v>30</v>
      </c>
      <c r="P28" s="7">
        <f t="shared" si="15"/>
        <v>1</v>
      </c>
      <c r="Q28" s="7">
        <f t="shared" si="15"/>
        <v>1</v>
      </c>
      <c r="R28" s="7">
        <f t="shared" ref="R28:X28" si="17">SIGN(F9-E9)</f>
        <v>1</v>
      </c>
      <c r="S28" s="7">
        <f t="shared" si="17"/>
        <v>1</v>
      </c>
      <c r="T28" s="7">
        <f t="shared" si="17"/>
        <v>1</v>
      </c>
      <c r="U28" s="7">
        <f t="shared" si="17"/>
        <v>1</v>
      </c>
      <c r="V28" s="7">
        <f t="shared" si="17"/>
        <v>1</v>
      </c>
      <c r="W28" s="7">
        <f t="shared" si="17"/>
        <v>1</v>
      </c>
      <c r="X28" s="7">
        <f t="shared" si="17"/>
        <v>1</v>
      </c>
      <c r="Z28" s="6" t="s">
        <v>30</v>
      </c>
      <c r="AA28" s="6">
        <f t="shared" si="16"/>
        <v>0</v>
      </c>
      <c r="AB28" s="6">
        <f t="shared" si="16"/>
        <v>1</v>
      </c>
      <c r="AC28" s="6">
        <f>IF(R28=R$36,1,0)</f>
        <v>1</v>
      </c>
      <c r="AD28" s="6">
        <f>IF(S28=S$36,1,0)</f>
        <v>1</v>
      </c>
      <c r="AE28" s="6">
        <f t="shared" si="10"/>
        <v>0</v>
      </c>
      <c r="AF28" s="6">
        <f t="shared" si="10"/>
        <v>1</v>
      </c>
      <c r="AG28" s="6">
        <f t="shared" si="10"/>
        <v>1</v>
      </c>
      <c r="AH28" s="6">
        <f t="shared" si="10"/>
        <v>0</v>
      </c>
      <c r="AI28" s="6">
        <f t="shared" si="10"/>
        <v>1</v>
      </c>
      <c r="AK28" s="6">
        <f t="shared" si="11"/>
        <v>0.75</v>
      </c>
      <c r="AL28" s="8">
        <f t="shared" si="12"/>
        <v>0.75</v>
      </c>
    </row>
    <row r="29" spans="2:38" x14ac:dyDescent="0.25">
      <c r="B29" s="6" t="s">
        <v>34</v>
      </c>
      <c r="C29" s="7">
        <f t="shared" si="13"/>
        <v>17.692000000000007</v>
      </c>
      <c r="D29" s="7">
        <f t="shared" si="13"/>
        <v>18.900000000000546</v>
      </c>
      <c r="E29" s="7">
        <f t="shared" ref="E29:K33" si="18">F11-E11</f>
        <v>19.179999999999382</v>
      </c>
      <c r="F29" s="7">
        <f t="shared" si="18"/>
        <v>20.440000000000509</v>
      </c>
      <c r="G29" s="7">
        <f t="shared" si="18"/>
        <v>21.710000000000036</v>
      </c>
      <c r="H29" s="7">
        <f t="shared" si="18"/>
        <v>22.979999999999563</v>
      </c>
      <c r="I29" s="7">
        <f t="shared" si="18"/>
        <v>24.210000000000036</v>
      </c>
      <c r="J29" s="7">
        <f t="shared" si="18"/>
        <v>26.359999999999673</v>
      </c>
      <c r="K29" s="7">
        <f t="shared" si="18"/>
        <v>27.600000000000364</v>
      </c>
      <c r="L29" s="6"/>
      <c r="M29" s="6"/>
      <c r="N29" s="6"/>
      <c r="O29" s="6" t="s">
        <v>32</v>
      </c>
      <c r="P29" s="7">
        <f t="shared" si="15"/>
        <v>1</v>
      </c>
      <c r="Q29" s="7">
        <f t="shared" si="15"/>
        <v>1</v>
      </c>
      <c r="R29" s="7"/>
      <c r="S29" s="7"/>
      <c r="T29" s="7"/>
      <c r="U29" s="7"/>
      <c r="V29" s="7"/>
      <c r="W29" s="7"/>
      <c r="X29" s="7"/>
      <c r="Z29" s="6" t="s">
        <v>32</v>
      </c>
      <c r="AA29" s="6">
        <f t="shared" si="16"/>
        <v>0</v>
      </c>
      <c r="AB29" s="6">
        <f t="shared" si="16"/>
        <v>1</v>
      </c>
      <c r="AC29" s="6"/>
      <c r="AD29" s="6"/>
      <c r="AE29" s="6"/>
      <c r="AF29" s="6"/>
      <c r="AG29" s="6"/>
      <c r="AH29" s="6"/>
      <c r="AI29" s="6"/>
      <c r="AK29" s="6">
        <f t="shared" si="11"/>
        <v>0.5</v>
      </c>
      <c r="AL29" s="8">
        <f t="shared" si="12"/>
        <v>0.5</v>
      </c>
    </row>
    <row r="30" spans="2:38" x14ac:dyDescent="0.25">
      <c r="B30" s="6" t="s">
        <v>38</v>
      </c>
      <c r="C30" s="7">
        <f t="shared" si="13"/>
        <v>23.25</v>
      </c>
      <c r="D30" s="7">
        <f t="shared" si="13"/>
        <v>28.5</v>
      </c>
      <c r="E30" s="7">
        <f t="shared" si="18"/>
        <v>30.399999999999636</v>
      </c>
      <c r="F30" s="7">
        <f t="shared" si="18"/>
        <v>32.400000000000546</v>
      </c>
      <c r="G30" s="7">
        <f t="shared" si="18"/>
        <v>6.3999999999996362</v>
      </c>
      <c r="H30" s="7">
        <f t="shared" si="18"/>
        <v>18.5</v>
      </c>
      <c r="I30" s="7">
        <f t="shared" si="18"/>
        <v>20.600000000000364</v>
      </c>
      <c r="J30" s="7">
        <f t="shared" si="18"/>
        <v>22.599999999999454</v>
      </c>
      <c r="K30" s="7">
        <f t="shared" si="18"/>
        <v>23.600000000000364</v>
      </c>
      <c r="L30" s="6"/>
      <c r="M30" s="6"/>
      <c r="N30" s="6"/>
      <c r="O30" s="6" t="s">
        <v>34</v>
      </c>
      <c r="P30" s="7">
        <f t="shared" si="15"/>
        <v>1</v>
      </c>
      <c r="Q30" s="7">
        <f t="shared" si="15"/>
        <v>1</v>
      </c>
      <c r="R30" s="7">
        <f t="shared" ref="R30:X34" si="19">SIGN(F11-E11)</f>
        <v>1</v>
      </c>
      <c r="S30" s="7">
        <f t="shared" si="19"/>
        <v>1</v>
      </c>
      <c r="T30" s="7">
        <f t="shared" si="19"/>
        <v>1</v>
      </c>
      <c r="U30" s="7">
        <f t="shared" si="19"/>
        <v>1</v>
      </c>
      <c r="V30" s="7">
        <f t="shared" si="19"/>
        <v>1</v>
      </c>
      <c r="W30" s="7">
        <f t="shared" si="19"/>
        <v>1</v>
      </c>
      <c r="X30" s="7">
        <f t="shared" si="19"/>
        <v>1</v>
      </c>
      <c r="Z30" s="6" t="s">
        <v>34</v>
      </c>
      <c r="AA30" s="6">
        <f t="shared" si="16"/>
        <v>0</v>
      </c>
      <c r="AB30" s="6">
        <f t="shared" si="16"/>
        <v>1</v>
      </c>
      <c r="AC30" s="6">
        <f t="shared" ref="AC30:AD34" si="20">IF(R30=R$36,1,0)</f>
        <v>1</v>
      </c>
      <c r="AD30" s="6">
        <f t="shared" si="20"/>
        <v>1</v>
      </c>
      <c r="AE30" s="6">
        <f t="shared" si="10"/>
        <v>0</v>
      </c>
      <c r="AF30" s="6">
        <f t="shared" si="10"/>
        <v>1</v>
      </c>
      <c r="AG30" s="6">
        <f t="shared" si="10"/>
        <v>1</v>
      </c>
      <c r="AH30" s="6">
        <f t="shared" si="10"/>
        <v>0</v>
      </c>
      <c r="AI30" s="6">
        <f t="shared" si="10"/>
        <v>1</v>
      </c>
      <c r="AK30" s="6">
        <f t="shared" si="11"/>
        <v>0.75</v>
      </c>
      <c r="AL30" s="8">
        <f t="shared" si="12"/>
        <v>0.75</v>
      </c>
    </row>
    <row r="31" spans="2:38" x14ac:dyDescent="0.25">
      <c r="B31" s="6" t="s">
        <v>41</v>
      </c>
      <c r="C31" s="7">
        <f t="shared" si="13"/>
        <v>13.920000000000073</v>
      </c>
      <c r="D31" s="7">
        <f t="shared" si="13"/>
        <v>10.360000000000582</v>
      </c>
      <c r="E31" s="7">
        <f t="shared" si="18"/>
        <v>10.679999999999382</v>
      </c>
      <c r="F31" s="7">
        <f t="shared" si="18"/>
        <v>19.920000000000073</v>
      </c>
      <c r="G31" s="7">
        <f t="shared" si="18"/>
        <v>11.180000000000291</v>
      </c>
      <c r="H31" s="7">
        <f t="shared" si="18"/>
        <v>11.600000000000364</v>
      </c>
      <c r="I31" s="7">
        <f t="shared" si="18"/>
        <v>12.019999999999527</v>
      </c>
      <c r="J31" s="7">
        <f t="shared" si="18"/>
        <v>12.340000000000146</v>
      </c>
      <c r="K31" s="7">
        <f t="shared" si="18"/>
        <v>12.760000000000218</v>
      </c>
      <c r="L31" s="6"/>
      <c r="M31" s="6"/>
      <c r="N31" s="6"/>
      <c r="O31" s="6" t="s">
        <v>38</v>
      </c>
      <c r="P31" s="7">
        <f t="shared" si="15"/>
        <v>1</v>
      </c>
      <c r="Q31" s="7">
        <f t="shared" si="15"/>
        <v>1</v>
      </c>
      <c r="R31" s="7">
        <f t="shared" si="19"/>
        <v>1</v>
      </c>
      <c r="S31" s="7">
        <f t="shared" si="19"/>
        <v>1</v>
      </c>
      <c r="T31" s="7">
        <f t="shared" si="19"/>
        <v>1</v>
      </c>
      <c r="U31" s="7">
        <f t="shared" si="19"/>
        <v>1</v>
      </c>
      <c r="V31" s="7">
        <f t="shared" si="19"/>
        <v>1</v>
      </c>
      <c r="W31" s="7">
        <f t="shared" si="19"/>
        <v>1</v>
      </c>
      <c r="X31" s="7">
        <f t="shared" si="19"/>
        <v>1</v>
      </c>
      <c r="Z31" s="6" t="s">
        <v>38</v>
      </c>
      <c r="AA31" s="6">
        <f t="shared" si="16"/>
        <v>0</v>
      </c>
      <c r="AB31" s="6">
        <f t="shared" si="16"/>
        <v>1</v>
      </c>
      <c r="AC31" s="6">
        <f t="shared" si="20"/>
        <v>1</v>
      </c>
      <c r="AD31" s="6">
        <f t="shared" si="20"/>
        <v>1</v>
      </c>
      <c r="AE31" s="6">
        <f t="shared" si="10"/>
        <v>0</v>
      </c>
      <c r="AF31" s="6">
        <f t="shared" si="10"/>
        <v>1</v>
      </c>
      <c r="AG31" s="6">
        <f t="shared" si="10"/>
        <v>1</v>
      </c>
      <c r="AH31" s="6">
        <f t="shared" si="10"/>
        <v>0</v>
      </c>
      <c r="AI31" s="6">
        <f t="shared" si="10"/>
        <v>1</v>
      </c>
      <c r="AK31" s="6">
        <f t="shared" si="11"/>
        <v>0.75</v>
      </c>
      <c r="AL31" s="8">
        <f t="shared" si="12"/>
        <v>0.75</v>
      </c>
    </row>
    <row r="32" spans="2:38" x14ac:dyDescent="0.25">
      <c r="B32" s="6" t="s">
        <v>48</v>
      </c>
      <c r="C32" s="7">
        <f t="shared" si="13"/>
        <v>23.25</v>
      </c>
      <c r="D32" s="7">
        <f t="shared" si="13"/>
        <v>28.5</v>
      </c>
      <c r="E32" s="7">
        <f t="shared" si="18"/>
        <v>30.399999999999636</v>
      </c>
      <c r="F32" s="7">
        <f t="shared" si="18"/>
        <v>32.400000000000546</v>
      </c>
      <c r="G32" s="7">
        <f t="shared" si="18"/>
        <v>6.3999999999996362</v>
      </c>
      <c r="H32" s="7">
        <f t="shared" si="18"/>
        <v>18.5</v>
      </c>
      <c r="I32" s="7">
        <f t="shared" si="18"/>
        <v>20.600000000000364</v>
      </c>
      <c r="J32" s="7">
        <f t="shared" si="18"/>
        <v>22.599999999999454</v>
      </c>
      <c r="K32" s="7">
        <f t="shared" si="18"/>
        <v>23.600000000000364</v>
      </c>
      <c r="L32" s="6"/>
      <c r="M32" s="6"/>
      <c r="N32" s="6"/>
      <c r="O32" s="6" t="s">
        <v>41</v>
      </c>
      <c r="P32" s="7">
        <f t="shared" si="15"/>
        <v>1</v>
      </c>
      <c r="Q32" s="7">
        <f t="shared" si="15"/>
        <v>1</v>
      </c>
      <c r="R32" s="7">
        <f t="shared" si="19"/>
        <v>1</v>
      </c>
      <c r="S32" s="7">
        <f t="shared" si="19"/>
        <v>1</v>
      </c>
      <c r="T32" s="7">
        <f t="shared" si="19"/>
        <v>1</v>
      </c>
      <c r="U32" s="7">
        <f t="shared" si="19"/>
        <v>1</v>
      </c>
      <c r="V32" s="7">
        <f t="shared" si="19"/>
        <v>1</v>
      </c>
      <c r="W32" s="7">
        <f t="shared" si="19"/>
        <v>1</v>
      </c>
      <c r="X32" s="7">
        <f t="shared" si="19"/>
        <v>1</v>
      </c>
      <c r="Z32" s="6" t="s">
        <v>41</v>
      </c>
      <c r="AA32" s="6">
        <f t="shared" si="16"/>
        <v>0</v>
      </c>
      <c r="AB32" s="6">
        <f t="shared" si="16"/>
        <v>1</v>
      </c>
      <c r="AC32" s="6">
        <f t="shared" si="20"/>
        <v>1</v>
      </c>
      <c r="AD32" s="6">
        <f t="shared" si="20"/>
        <v>1</v>
      </c>
      <c r="AE32" s="6">
        <f t="shared" si="10"/>
        <v>0</v>
      </c>
      <c r="AF32" s="6">
        <f t="shared" si="10"/>
        <v>1</v>
      </c>
      <c r="AG32" s="6">
        <f t="shared" si="10"/>
        <v>1</v>
      </c>
      <c r="AH32" s="6">
        <f t="shared" si="10"/>
        <v>0</v>
      </c>
      <c r="AI32" s="6">
        <f t="shared" si="10"/>
        <v>1</v>
      </c>
      <c r="AK32" s="6">
        <f t="shared" si="11"/>
        <v>0.75</v>
      </c>
      <c r="AL32" s="8">
        <f t="shared" si="12"/>
        <v>0.75</v>
      </c>
    </row>
    <row r="33" spans="2:38" x14ac:dyDescent="0.25">
      <c r="B33" s="6" t="s">
        <v>46</v>
      </c>
      <c r="C33" s="7">
        <f t="shared" si="13"/>
        <v>13.920000000000073</v>
      </c>
      <c r="D33" s="7">
        <f t="shared" si="13"/>
        <v>10.360000000000582</v>
      </c>
      <c r="E33" s="7">
        <f t="shared" si="18"/>
        <v>10.679999999999382</v>
      </c>
      <c r="F33" s="7">
        <f t="shared" si="18"/>
        <v>19.920000000000073</v>
      </c>
      <c r="G33" s="7">
        <f t="shared" si="18"/>
        <v>11.180000000000291</v>
      </c>
      <c r="H33" s="7">
        <f t="shared" si="18"/>
        <v>11.600000000000364</v>
      </c>
      <c r="I33" s="7">
        <f t="shared" si="18"/>
        <v>12.019999999999527</v>
      </c>
      <c r="J33" s="7">
        <f t="shared" si="18"/>
        <v>12.340000000000146</v>
      </c>
      <c r="K33" s="7">
        <f t="shared" si="18"/>
        <v>12.760000000000218</v>
      </c>
      <c r="L33" s="6"/>
      <c r="M33" s="6"/>
      <c r="N33" s="6"/>
      <c r="O33" s="6" t="s">
        <v>48</v>
      </c>
      <c r="P33" s="7">
        <f t="shared" si="15"/>
        <v>1</v>
      </c>
      <c r="Q33" s="7">
        <f t="shared" si="15"/>
        <v>1</v>
      </c>
      <c r="R33" s="7">
        <f t="shared" si="19"/>
        <v>1</v>
      </c>
      <c r="S33" s="7">
        <f t="shared" si="19"/>
        <v>1</v>
      </c>
      <c r="T33" s="7">
        <f t="shared" si="19"/>
        <v>1</v>
      </c>
      <c r="U33" s="7">
        <f t="shared" si="19"/>
        <v>1</v>
      </c>
      <c r="V33" s="7">
        <f t="shared" si="19"/>
        <v>1</v>
      </c>
      <c r="W33" s="7">
        <f t="shared" si="19"/>
        <v>1</v>
      </c>
      <c r="X33" s="7">
        <f t="shared" si="19"/>
        <v>1</v>
      </c>
      <c r="Z33" s="6" t="s">
        <v>48</v>
      </c>
      <c r="AA33" s="6">
        <f t="shared" si="16"/>
        <v>0</v>
      </c>
      <c r="AB33" s="6">
        <f t="shared" si="16"/>
        <v>1</v>
      </c>
      <c r="AC33" s="6">
        <f t="shared" si="20"/>
        <v>1</v>
      </c>
      <c r="AD33" s="6">
        <f t="shared" si="20"/>
        <v>1</v>
      </c>
      <c r="AE33" s="6">
        <f t="shared" si="10"/>
        <v>0</v>
      </c>
      <c r="AF33" s="6">
        <f t="shared" si="10"/>
        <v>1</v>
      </c>
      <c r="AG33" s="6">
        <f t="shared" si="10"/>
        <v>1</v>
      </c>
      <c r="AH33" s="6">
        <f t="shared" si="10"/>
        <v>0</v>
      </c>
      <c r="AI33" s="6">
        <f t="shared" si="10"/>
        <v>1</v>
      </c>
      <c r="AK33" s="6">
        <f t="shared" si="11"/>
        <v>0.75</v>
      </c>
      <c r="AL33" s="8">
        <f t="shared" si="12"/>
        <v>0.75</v>
      </c>
    </row>
    <row r="34" spans="2:38" x14ac:dyDescent="0.25">
      <c r="B34" s="6" t="s">
        <v>69</v>
      </c>
      <c r="C34" s="6">
        <f>AVERAGE(C22:C33)</f>
        <v>21.375320312500055</v>
      </c>
      <c r="D34" s="6">
        <f t="shared" ref="D34:K34" si="21">AVERAGE(D22:D33)</f>
        <v>18.859568359375164</v>
      </c>
      <c r="E34" s="6">
        <f t="shared" si="21"/>
        <v>19.010033203123747</v>
      </c>
      <c r="F34" s="6">
        <f t="shared" si="21"/>
        <v>23.909935546876113</v>
      </c>
      <c r="G34" s="6">
        <f t="shared" si="21"/>
        <v>17.95592578124997</v>
      </c>
      <c r="H34" s="6">
        <f t="shared" si="21"/>
        <v>19.314121093749964</v>
      </c>
      <c r="I34" s="6">
        <f t="shared" si="21"/>
        <v>20.855869140624055</v>
      </c>
      <c r="J34" s="6">
        <f t="shared" si="21"/>
        <v>18.604999999999791</v>
      </c>
      <c r="K34" s="6">
        <f t="shared" si="21"/>
        <v>44.0450000000003</v>
      </c>
      <c r="L34" s="6"/>
      <c r="M34" s="6"/>
      <c r="N34" s="6"/>
      <c r="O34" s="6" t="s">
        <v>46</v>
      </c>
      <c r="P34" s="7">
        <f t="shared" si="15"/>
        <v>1</v>
      </c>
      <c r="Q34" s="7">
        <f t="shared" si="15"/>
        <v>1</v>
      </c>
      <c r="R34" s="7">
        <f t="shared" si="19"/>
        <v>1</v>
      </c>
      <c r="S34" s="7">
        <f t="shared" si="19"/>
        <v>1</v>
      </c>
      <c r="T34" s="7">
        <f t="shared" si="19"/>
        <v>1</v>
      </c>
      <c r="U34" s="7">
        <f t="shared" si="19"/>
        <v>1</v>
      </c>
      <c r="V34" s="7">
        <f t="shared" si="19"/>
        <v>1</v>
      </c>
      <c r="W34" s="7">
        <f t="shared" si="19"/>
        <v>1</v>
      </c>
      <c r="X34" s="7">
        <f t="shared" si="19"/>
        <v>1</v>
      </c>
      <c r="Z34" s="6" t="s">
        <v>46</v>
      </c>
      <c r="AA34" s="6">
        <f t="shared" si="16"/>
        <v>0</v>
      </c>
      <c r="AB34" s="6">
        <f t="shared" si="16"/>
        <v>1</v>
      </c>
      <c r="AC34" s="6">
        <f t="shared" si="20"/>
        <v>1</v>
      </c>
      <c r="AD34" s="6">
        <f t="shared" si="20"/>
        <v>1</v>
      </c>
      <c r="AE34" s="6">
        <f t="shared" si="10"/>
        <v>0</v>
      </c>
      <c r="AF34" s="6">
        <f t="shared" si="10"/>
        <v>1</v>
      </c>
      <c r="AG34" s="6">
        <f t="shared" si="10"/>
        <v>1</v>
      </c>
      <c r="AH34" s="6">
        <f t="shared" si="10"/>
        <v>0</v>
      </c>
      <c r="AI34" s="6">
        <f t="shared" si="10"/>
        <v>1</v>
      </c>
      <c r="AK34" s="6">
        <f t="shared" si="11"/>
        <v>0.75</v>
      </c>
      <c r="AL34" s="8">
        <f t="shared" si="12"/>
        <v>0.75</v>
      </c>
    </row>
    <row r="35" spans="2:38" x14ac:dyDescent="0.25">
      <c r="B35" s="6" t="s">
        <v>68</v>
      </c>
      <c r="C35" s="7">
        <f t="shared" ref="C35:K35" si="22">D17-C17</f>
        <v>-45.9599609375</v>
      </c>
      <c r="D35" s="7">
        <f t="shared" si="22"/>
        <v>43.31005859375</v>
      </c>
      <c r="E35" s="7">
        <f t="shared" si="22"/>
        <v>23.60009765625</v>
      </c>
      <c r="F35" s="7">
        <f t="shared" si="22"/>
        <v>22.08984375</v>
      </c>
      <c r="G35" s="7">
        <f t="shared" si="22"/>
        <v>-57.57958984375</v>
      </c>
      <c r="H35" s="7">
        <f t="shared" si="22"/>
        <v>40.44970703125</v>
      </c>
      <c r="I35" s="7">
        <f t="shared" si="22"/>
        <v>2.06005859375</v>
      </c>
      <c r="J35" s="7">
        <f t="shared" si="22"/>
        <v>-16.52978515625</v>
      </c>
      <c r="K35" s="7">
        <f t="shared" si="22"/>
        <v>63.099609375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7"/>
      <c r="AC35" s="7"/>
      <c r="AD35" s="7"/>
      <c r="AE35" s="7"/>
      <c r="AF35" s="7"/>
      <c r="AG35" s="7"/>
      <c r="AH35" s="7"/>
      <c r="AI35" s="7"/>
      <c r="AJ35" s="2"/>
    </row>
    <row r="36" spans="2:38" x14ac:dyDescent="0.25">
      <c r="B36" s="3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 t="s">
        <v>68</v>
      </c>
      <c r="P36" s="7">
        <f t="shared" ref="P36:X36" si="23">SIGN(D17-C17)</f>
        <v>-1</v>
      </c>
      <c r="Q36" s="7">
        <f t="shared" si="23"/>
        <v>1</v>
      </c>
      <c r="R36" s="7">
        <f t="shared" si="23"/>
        <v>1</v>
      </c>
      <c r="S36" s="7">
        <f t="shared" si="23"/>
        <v>1</v>
      </c>
      <c r="T36" s="7">
        <f t="shared" si="23"/>
        <v>-1</v>
      </c>
      <c r="U36" s="7">
        <f t="shared" si="23"/>
        <v>1</v>
      </c>
      <c r="V36" s="7">
        <f t="shared" si="23"/>
        <v>1</v>
      </c>
      <c r="W36" s="7">
        <f t="shared" si="23"/>
        <v>-1</v>
      </c>
      <c r="X36" s="7">
        <f t="shared" si="23"/>
        <v>1</v>
      </c>
      <c r="Y36" s="6"/>
      <c r="Z36" s="6"/>
      <c r="AA36" s="6"/>
      <c r="AB36" s="7"/>
      <c r="AC36" s="7"/>
      <c r="AD36" s="7"/>
      <c r="AE36" s="7"/>
      <c r="AF36" s="7"/>
      <c r="AG36" s="7"/>
      <c r="AH36" s="7"/>
      <c r="AI36" s="7"/>
      <c r="AJ36" s="2"/>
    </row>
    <row r="37" spans="2:38" x14ac:dyDescent="0.25">
      <c r="B37" s="3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7"/>
      <c r="AA37" s="7"/>
      <c r="AB37" s="7"/>
      <c r="AC37" s="7"/>
      <c r="AD37" s="7"/>
      <c r="AE37" s="7"/>
      <c r="AF37" s="7"/>
      <c r="AG37" s="7"/>
      <c r="AH37" s="7"/>
      <c r="AI37" s="2"/>
    </row>
    <row r="38" spans="2:38" x14ac:dyDescent="0.25">
      <c r="B38" s="3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7"/>
      <c r="AA38" s="7"/>
      <c r="AB38" s="7"/>
      <c r="AC38" s="7"/>
      <c r="AD38" s="7"/>
      <c r="AE38" s="7"/>
      <c r="AF38" s="7"/>
      <c r="AG38" s="7"/>
      <c r="AH38" s="7"/>
      <c r="AI38" s="2"/>
    </row>
    <row r="39" spans="2:38" x14ac:dyDescent="0.25">
      <c r="B39" s="3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7"/>
      <c r="AA39" s="7"/>
      <c r="AB39" s="7"/>
      <c r="AC39" s="7"/>
      <c r="AD39" s="7"/>
      <c r="AE39" s="7"/>
      <c r="AF39" s="7"/>
      <c r="AG39" s="7"/>
      <c r="AH39" s="7"/>
      <c r="AI39" s="2"/>
    </row>
    <row r="40" spans="2:38" x14ac:dyDescent="0.25">
      <c r="B40" s="3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7"/>
      <c r="AA40" s="7"/>
      <c r="AB40" s="7"/>
      <c r="AC40" s="7"/>
      <c r="AD40" s="7"/>
      <c r="AE40" s="7"/>
      <c r="AF40" s="7"/>
      <c r="AG40" s="7"/>
      <c r="AH40" s="7"/>
      <c r="AI40" s="2"/>
    </row>
    <row r="41" spans="2:38" x14ac:dyDescent="0.25">
      <c r="B41" s="3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7"/>
      <c r="AA41" s="7"/>
      <c r="AB41" s="7"/>
      <c r="AC41" s="7"/>
      <c r="AD41" s="7"/>
      <c r="AE41" s="7"/>
      <c r="AF41" s="7"/>
      <c r="AG41" s="7"/>
      <c r="AH41" s="7"/>
      <c r="AI41" s="2"/>
    </row>
    <row r="42" spans="2:38" x14ac:dyDescent="0.25">
      <c r="B42" s="3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7"/>
      <c r="AA42" s="7"/>
      <c r="AB42" s="7"/>
      <c r="AC42" s="7"/>
      <c r="AD42" s="7"/>
      <c r="AE42" s="7"/>
      <c r="AF42" s="7"/>
      <c r="AG42" s="7"/>
      <c r="AH42" s="7"/>
      <c r="AI42" s="2"/>
    </row>
    <row r="43" spans="2:38" x14ac:dyDescent="0.25">
      <c r="B43" s="3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7"/>
      <c r="AA43" s="7"/>
      <c r="AB43" s="7"/>
      <c r="AC43" s="7"/>
      <c r="AD43" s="7"/>
      <c r="AE43" s="7"/>
      <c r="AF43" s="7"/>
      <c r="AG43" s="7"/>
      <c r="AH43" s="7"/>
      <c r="AI43" s="2"/>
    </row>
    <row r="44" spans="2:38" x14ac:dyDescent="0.25">
      <c r="B44" s="3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7"/>
      <c r="AA44" s="7"/>
      <c r="AB44" s="7"/>
      <c r="AC44" s="7"/>
      <c r="AD44" s="7"/>
      <c r="AE44" s="7"/>
      <c r="AF44" s="7"/>
      <c r="AG44" s="7"/>
      <c r="AH44" s="7"/>
      <c r="AI44" s="2"/>
    </row>
    <row r="45" spans="2:38" x14ac:dyDescent="0.25">
      <c r="B45" s="3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7"/>
      <c r="AA45" s="7"/>
      <c r="AB45" s="7"/>
      <c r="AC45" s="7"/>
      <c r="AD45" s="7"/>
      <c r="AE45" s="7"/>
      <c r="AF45" s="7"/>
      <c r="AG45" s="7"/>
      <c r="AH45" s="7"/>
      <c r="AI45" s="2"/>
    </row>
  </sheetData>
  <mergeCells count="1">
    <mergeCell ref="B2:Q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 Data</vt:lpstr>
      <vt:lpstr>Actual Price Data</vt:lpstr>
      <vt:lpstr>Short Term</vt:lpstr>
      <vt:lpstr>Long 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 Wong</dc:creator>
  <cp:lastModifiedBy>Jayson Wong</cp:lastModifiedBy>
  <dcterms:created xsi:type="dcterms:W3CDTF">2026-04-09T13:01:45Z</dcterms:created>
  <dcterms:modified xsi:type="dcterms:W3CDTF">2026-04-25T10:28:57Z</dcterms:modified>
</cp:coreProperties>
</file>